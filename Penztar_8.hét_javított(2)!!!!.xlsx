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8_{A82F86BD-86BB-43C6-96B2-0C16481F988B}" xr6:coauthVersionLast="47" xr6:coauthVersionMax="47" xr10:uidLastSave="{00000000-0000-0000-0000-000000000000}"/>
  <bookViews>
    <workbookView xWindow="14295" yWindow="0" windowWidth="14610" windowHeight="15585" tabRatio="664" firstSheet="22" activeTab="23" xr2:uid="{00000000-000D-0000-FFFF-FFFF00000000}"/>
  </bookViews>
  <sheets>
    <sheet name="PT_BE" sheetId="1" r:id="rId1"/>
    <sheet name="PT_KI" sheetId="2" r:id="rId2"/>
    <sheet name="Jelentés_Előtársaság" sheetId="3" r:id="rId3"/>
    <sheet name="Jelentés_1" sheetId="22" r:id="rId4"/>
    <sheet name="Szigszam" sheetId="4" r:id="rId5"/>
    <sheet name="Utalas" sheetId="5" r:id="rId6"/>
    <sheet name="Utalas (2)" sheetId="13" r:id="rId7"/>
    <sheet name="Utalas (3)" sheetId="20" r:id="rId8"/>
    <sheet name="Kimenő számla" sheetId="6" r:id="rId9"/>
    <sheet name="Kimenő számla (2)" sheetId="10" r:id="rId10"/>
    <sheet name="Kimenő számla (3)" sheetId="21" r:id="rId11"/>
    <sheet name="Folyószámla analitika" sheetId="7" r:id="rId12"/>
    <sheet name="ÁFA  analitika" sheetId="9" r:id="rId13"/>
    <sheet name="Főkönyvi bizonylatok" sheetId="11" r:id="rId14"/>
    <sheet name="Tagi kölcsön analitika" sheetId="23" r:id="rId15"/>
    <sheet name="Időbeli elhatárolás analitika" sheetId="12" r:id="rId16"/>
    <sheet name="Tárgyi eszköz analitika" sheetId="32" r:id="rId17"/>
    <sheet name="Béranalitika" sheetId="27" r:id="rId18"/>
    <sheet name="AFA_Előtársaság " sheetId="17" r:id="rId19"/>
    <sheet name="Áfa_10 " sheetId="19" r:id="rId20"/>
    <sheet name="BÉR_11" sheetId="24" r:id="rId21"/>
    <sheet name="HIPA_Előtársaság" sheetId="31" r:id="rId22"/>
    <sheet name="Főkönyvi kivonat_HIPA előtt" sheetId="28" r:id="rId23"/>
    <sheet name="TAO_Előtársaság" sheetId="29" r:id="rId24"/>
    <sheet name="Főkönyvi kivonat_TAO előtt" sheetId="33" r:id="rId25"/>
    <sheet name="Áfa analitika" sheetId="8" state="hidden" r:id="rId26"/>
  </sheets>
  <externalReferences>
    <externalReference r:id="rId27"/>
    <externalReference r:id="rId28"/>
  </externalReferences>
  <definedNames>
    <definedName name="_xlnm._FilterDatabase" localSheetId="11" hidden="1">'Folyószámla analitika'!$A$2:$L$2</definedName>
    <definedName name="CÉGASZ" localSheetId="20">[1]Param!$B$7</definedName>
    <definedName name="CÉGASZ">[2]Param!$B$7</definedName>
    <definedName name="CÉGCÍM" localSheetId="20">[1]Param!$B$4</definedName>
    <definedName name="CÉGCÍM">[2]Param!$B$4</definedName>
    <definedName name="CÉGNÉV" localSheetId="20">[1]Param!$B$2</definedName>
    <definedName name="CÉGNÉV">[2]Param!$B$2</definedName>
    <definedName name="CÉGSZLA" localSheetId="20">[1]Param!$B$5</definedName>
    <definedName name="CÉGSZLA">[2]Param!$B$5</definedName>
    <definedName name="CJSZ" localSheetId="20">[1]Param!$B$6</definedName>
    <definedName name="CJSZ">[2]Param!$B$6</definedName>
    <definedName name="d" localSheetId="20">{"0";"egy";"kettő";"három";"négy";"öt";"hat";"hét";"nyolc";"kilenc"}</definedName>
    <definedName name="d" localSheetId="6">{"0";"egy";"kettő";"három";"négy";"öt";"hat";"hét";"nyolc";"kilenc"}</definedName>
    <definedName name="d" localSheetId="7">{"0";"egy";"kettő";"három";"négy";"öt";"hat";"hét";"nyolc";"kilenc"}</definedName>
    <definedName name="d">{"0";"egy";"kettő";"három";"négy";"öt";"hat";"hét";"nyolc";"kilenc"}</definedName>
    <definedName name="n_1" localSheetId="19">{"0";"egy";"kettő";"három";"négy";"öt";"hat";"hét";"nyolc";"kilenc"}</definedName>
    <definedName name="n_1" localSheetId="18">{"0";"egy";"kettő";"három";"négy";"öt";"hat";"hét";"nyolc";"kilenc"}</definedName>
    <definedName name="n_1" localSheetId="20">{"0";"egy";"kettő";"három";"négy";"öt";"hat";"hét";"nyolc";"kilenc"}</definedName>
    <definedName name="n_1" localSheetId="21">{"0";"egy";"kettő";"három";"négy";"öt";"hat";"hét";"nyolc";"kilenc"}</definedName>
    <definedName name="n_1" localSheetId="8">{"0";"egy";"kettő";"három";"négy";"öt";"hat";"hét";"nyolc";"kilenc"}</definedName>
    <definedName name="n_1" localSheetId="9">{"0";"egy";"kettő";"három";"négy";"öt";"hat";"hét";"nyolc";"kilenc"}</definedName>
    <definedName name="n_1" localSheetId="10">{"0";"egy";"kettő";"három";"négy";"öt";"hat";"hét";"nyolc";"kilenc"}</definedName>
    <definedName name="n_1" localSheetId="23">{"0";"egy";"kettő";"három";"négy";"öt";"hat";"hét";"nyolc";"kilenc"}</definedName>
    <definedName name="n_1" localSheetId="5">{"0";"egy";"kettő";"három";"négy";"öt";"hat";"hét";"nyolc";"kilenc"}</definedName>
    <definedName name="n_1" localSheetId="6">{"0";"egy";"kettő";"három";"négy";"öt";"hat";"hét";"nyolc";"kilenc"}</definedName>
    <definedName name="n_1" localSheetId="7">{"0";"egy";"kettő";"három";"négy";"öt";"hat";"hét";"nyolc";"kilenc"}</definedName>
    <definedName name="n_1">{"0";"egy";"kettő";"három";"négy";"öt";"hat";"hét";"nyolc";"kilenc"}</definedName>
    <definedName name="n_t" localSheetId="19">{"","tizen","huszon","harminc","negyven","ötven","hatvan","hetven","nyolcvan","kilencven"}</definedName>
    <definedName name="n_t" localSheetId="18">{"","tizen","huszon","harminc","negyven","ötven","hatvan","hetven","nyolcvan","kilencven"}</definedName>
    <definedName name="n_t" localSheetId="20">{"","tizen","huszon","harminc","negyven","ötven","hatvan","hetven","nyolcvan","kilencven"}</definedName>
    <definedName name="n_t" localSheetId="21">{"","tizen","huszon","harminc","negyven","ötven","hatvan","hetven","nyolcvan","kilencven"}</definedName>
    <definedName name="n_t" localSheetId="8">{"","tizen","huszon","harminc","negyven","ötven","hatvan","hetven","nyolcvan","kilencven"}</definedName>
    <definedName name="n_t" localSheetId="9">{"","tizen","huszon","harminc","negyven","ötven","hatvan","hetven","nyolcvan","kilencven"}</definedName>
    <definedName name="n_t" localSheetId="10">{"","tizen","huszon","harminc","negyven","ötven","hatvan","hetven","nyolcvan","kilencven"}</definedName>
    <definedName name="n_t" localSheetId="23">{"","tizen","huszon","harminc","negyven","ötven","hatvan","hetven","nyolcvan","kilencven"}</definedName>
    <definedName name="n_t" localSheetId="5">{"","tizen","huszon","harminc","negyven","ötven","hatvan","hetven","nyolcvan","kilencven"}</definedName>
    <definedName name="n_t" localSheetId="6">{"","tizen","huszon","harminc","negyven","ötven","hatvan","hetven","nyolcvan","kilencven"}</definedName>
    <definedName name="n_t" localSheetId="7">{"","tizen","huszon","harminc","negyven","ötven","hatvan","hetven","nyolcvan","kilencven"}</definedName>
    <definedName name="n_t">{"","tizen","huszon","harminc","negyven","ötven","hatvan","hetven","nyolcvan","kilencven"}</definedName>
    <definedName name="_xlnm.Print_Area" localSheetId="5">Utalas!$A$1:$I$20</definedName>
    <definedName name="_xlnm.Print_Area" localSheetId="6">'Utalas (2)'!$A$1:$I$20</definedName>
    <definedName name="_xlnm.Print_Area" localSheetId="7">'Utalas (3)'!$A$1:$I$20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2" i="32" l="1"/>
  <c r="D51" i="32"/>
  <c r="F51" i="32" s="1"/>
  <c r="M51" i="32" s="1"/>
  <c r="I54" i="32"/>
  <c r="L53" i="32"/>
  <c r="I53" i="32"/>
  <c r="L52" i="32"/>
  <c r="I52" i="32"/>
  <c r="L38" i="32"/>
  <c r="I38" i="32"/>
  <c r="F38" i="32"/>
  <c r="M38" i="32" s="1"/>
  <c r="L51" i="32"/>
  <c r="I51" i="32"/>
  <c r="D37" i="32"/>
  <c r="L37" i="32"/>
  <c r="I37" i="32"/>
  <c r="F37" i="32"/>
  <c r="M37" i="32" s="1"/>
  <c r="D23" i="32"/>
  <c r="F23" i="32"/>
  <c r="L23" i="32"/>
  <c r="I23" i="32"/>
  <c r="L5" i="32"/>
  <c r="L6" i="32" s="1"/>
  <c r="I5" i="32"/>
  <c r="I6" i="32" s="1"/>
  <c r="F5" i="32"/>
  <c r="R48" i="31"/>
  <c r="Q114" i="31"/>
  <c r="O114" i="31"/>
  <c r="N114" i="31"/>
  <c r="L114" i="31"/>
  <c r="K114" i="31"/>
  <c r="I114" i="31"/>
  <c r="H114" i="31"/>
  <c r="G114" i="31"/>
  <c r="F114" i="31"/>
  <c r="C114" i="31"/>
  <c r="R100" i="31"/>
  <c r="R30" i="31" s="1"/>
  <c r="R40" i="31" s="1"/>
  <c r="R46" i="31" s="1"/>
  <c r="E94" i="31"/>
  <c r="E92" i="31"/>
  <c r="R52" i="31"/>
  <c r="R54" i="31" s="1"/>
  <c r="R62" i="31" s="1"/>
  <c r="W34" i="31"/>
  <c r="W33" i="31"/>
  <c r="W32" i="31"/>
  <c r="F52" i="32" l="1"/>
  <c r="M5" i="32"/>
  <c r="F6" i="32"/>
  <c r="M6" i="32" s="1"/>
  <c r="M23" i="32"/>
  <c r="I77" i="29"/>
  <c r="I74" i="29"/>
  <c r="I62" i="29"/>
  <c r="I31" i="29" s="1"/>
  <c r="I48" i="29"/>
  <c r="I30" i="29"/>
  <c r="K5" i="12"/>
  <c r="L6" i="12"/>
  <c r="J8" i="7"/>
  <c r="K5" i="23"/>
  <c r="F11" i="11"/>
  <c r="M52" i="32" l="1"/>
  <c r="F53" i="32"/>
  <c r="I78" i="29"/>
  <c r="I29" i="29" s="1"/>
  <c r="I32" i="29" s="1"/>
  <c r="I33" i="29" s="1"/>
  <c r="I35" i="29" s="1"/>
  <c r="K9" i="12"/>
  <c r="E8" i="27"/>
  <c r="F8" i="27"/>
  <c r="D8" i="27"/>
  <c r="F5" i="27"/>
  <c r="H5" i="27" s="1"/>
  <c r="F6" i="27"/>
  <c r="H6" i="27" s="1"/>
  <c r="F4" i="27"/>
  <c r="H4" i="27" s="1"/>
  <c r="E5" i="27"/>
  <c r="E6" i="27"/>
  <c r="E4" i="27"/>
  <c r="G4" i="27" s="1"/>
  <c r="D5" i="27"/>
  <c r="G5" i="27" s="1"/>
  <c r="D6" i="27"/>
  <c r="D4" i="27"/>
  <c r="D3" i="27"/>
  <c r="H3" i="27"/>
  <c r="G3" i="27"/>
  <c r="F3" i="27"/>
  <c r="E3" i="27"/>
  <c r="C4" i="27"/>
  <c r="J5" i="23"/>
  <c r="I5" i="23"/>
  <c r="H5" i="23"/>
  <c r="G5" i="23"/>
  <c r="E4" i="23"/>
  <c r="E5" i="23"/>
  <c r="E3" i="23"/>
  <c r="K7" i="12"/>
  <c r="K8" i="12"/>
  <c r="L8" i="12" s="1"/>
  <c r="J14" i="9"/>
  <c r="H14" i="9"/>
  <c r="L10" i="7"/>
  <c r="J10" i="7"/>
  <c r="H14" i="21"/>
  <c r="I59" i="24"/>
  <c r="I54" i="24"/>
  <c r="I42" i="24"/>
  <c r="I35" i="24"/>
  <c r="I29" i="24"/>
  <c r="H19" i="9"/>
  <c r="H18" i="9"/>
  <c r="H17" i="9"/>
  <c r="J10" i="21"/>
  <c r="D18" i="21"/>
  <c r="D17" i="21"/>
  <c r="H18" i="21"/>
  <c r="H17" i="21"/>
  <c r="H11" i="21"/>
  <c r="G11" i="21"/>
  <c r="E11" i="21"/>
  <c r="D11" i="21"/>
  <c r="D9" i="10"/>
  <c r="F58" i="3"/>
  <c r="J61" i="22"/>
  <c r="K56" i="22"/>
  <c r="F56" i="22"/>
  <c r="E56" i="22"/>
  <c r="K55" i="22"/>
  <c r="K54" i="22"/>
  <c r="K53" i="22"/>
  <c r="K52" i="22"/>
  <c r="K51" i="22"/>
  <c r="K50" i="22"/>
  <c r="K49" i="22"/>
  <c r="K48" i="22"/>
  <c r="K47" i="22"/>
  <c r="K46" i="22"/>
  <c r="K45" i="22"/>
  <c r="K57" i="22" s="1"/>
  <c r="F59" i="22" s="1"/>
  <c r="I43" i="22"/>
  <c r="I42" i="22"/>
  <c r="G6" i="22"/>
  <c r="G7" i="22" s="1"/>
  <c r="G8" i="22" s="1"/>
  <c r="G9" i="22" s="1"/>
  <c r="G10" i="22" s="1"/>
  <c r="G11" i="22" s="1"/>
  <c r="G12" i="22" s="1"/>
  <c r="G13" i="22" s="1"/>
  <c r="G14" i="22" s="1"/>
  <c r="G15" i="22" s="1"/>
  <c r="G16" i="22" s="1"/>
  <c r="G17" i="22" s="1"/>
  <c r="G18" i="22" s="1"/>
  <c r="G19" i="22" s="1"/>
  <c r="G20" i="22" s="1"/>
  <c r="G21" i="22" s="1"/>
  <c r="G22" i="22" s="1"/>
  <c r="G23" i="22" s="1"/>
  <c r="G24" i="22" s="1"/>
  <c r="G25" i="22" s="1"/>
  <c r="G26" i="22" s="1"/>
  <c r="G27" i="22" s="1"/>
  <c r="G28" i="22" s="1"/>
  <c r="G29" i="22" s="1"/>
  <c r="G30" i="22" s="1"/>
  <c r="G31" i="22" s="1"/>
  <c r="G32" i="22" s="1"/>
  <c r="G33" i="22" s="1"/>
  <c r="G34" i="22" s="1"/>
  <c r="G35" i="22" s="1"/>
  <c r="G36" i="22" s="1"/>
  <c r="G37" i="22" s="1"/>
  <c r="G38" i="22" s="1"/>
  <c r="G39" i="22" s="1"/>
  <c r="G40" i="22" s="1"/>
  <c r="G41" i="22" s="1"/>
  <c r="G42" i="22" s="1"/>
  <c r="G43" i="22" s="1"/>
  <c r="G44" i="22" s="1"/>
  <c r="G45" i="22" s="1"/>
  <c r="G46" i="22" s="1"/>
  <c r="G47" i="22" s="1"/>
  <c r="G48" i="22" s="1"/>
  <c r="G49" i="22" s="1"/>
  <c r="G50" i="22" s="1"/>
  <c r="G51" i="22" s="1"/>
  <c r="G52" i="22" s="1"/>
  <c r="G53" i="22" s="1"/>
  <c r="G54" i="22" s="1"/>
  <c r="G55" i="22" s="1"/>
  <c r="G1" i="22"/>
  <c r="F1" i="22"/>
  <c r="H10" i="21"/>
  <c r="G10" i="21"/>
  <c r="E10" i="21"/>
  <c r="E9" i="21"/>
  <c r="F19" i="21"/>
  <c r="E19" i="21"/>
  <c r="L9" i="7"/>
  <c r="F13" i="13"/>
  <c r="E108" i="1"/>
  <c r="E121" i="2"/>
  <c r="E108" i="2"/>
  <c r="I52" i="19"/>
  <c r="H52" i="19"/>
  <c r="K47" i="19"/>
  <c r="K46" i="19"/>
  <c r="K45" i="19"/>
  <c r="I35" i="19"/>
  <c r="I61" i="19" s="1"/>
  <c r="H35" i="19"/>
  <c r="K28" i="19"/>
  <c r="K27" i="19"/>
  <c r="I52" i="17"/>
  <c r="H52" i="17"/>
  <c r="K46" i="17"/>
  <c r="K45" i="17"/>
  <c r="I29" i="17"/>
  <c r="I35" i="17" s="1"/>
  <c r="I61" i="17" s="1"/>
  <c r="H35" i="17"/>
  <c r="K28" i="17"/>
  <c r="K27" i="17"/>
  <c r="L7" i="7"/>
  <c r="F54" i="32" l="1"/>
  <c r="J54" i="32" s="1"/>
  <c r="L54" i="32" s="1"/>
  <c r="M54" i="32" s="1"/>
  <c r="M53" i="32"/>
  <c r="G6" i="27"/>
  <c r="F58" i="22"/>
  <c r="E60" i="22" s="1"/>
  <c r="E61" i="22" s="1"/>
  <c r="G9" i="21"/>
  <c r="H9" i="21" s="1"/>
  <c r="E14" i="21"/>
  <c r="K29" i="19"/>
  <c r="K29" i="17"/>
  <c r="K47" i="17"/>
  <c r="J13" i="9"/>
  <c r="J12" i="9"/>
  <c r="L8" i="7"/>
  <c r="L7" i="12"/>
  <c r="L9" i="12"/>
  <c r="L5" i="12"/>
  <c r="L4" i="12"/>
  <c r="L3" i="12"/>
  <c r="G14" i="10"/>
  <c r="E9" i="10"/>
  <c r="F19" i="10"/>
  <c r="E19" i="10"/>
  <c r="H11" i="9"/>
  <c r="J11" i="9" s="1"/>
  <c r="J10" i="9"/>
  <c r="E9" i="6"/>
  <c r="J4" i="9"/>
  <c r="J5" i="9"/>
  <c r="J6" i="9"/>
  <c r="J7" i="9"/>
  <c r="J8" i="9"/>
  <c r="J9" i="9"/>
  <c r="H3" i="9"/>
  <c r="J3" i="9" s="1"/>
  <c r="L6" i="7"/>
  <c r="H19" i="6"/>
  <c r="L5" i="7"/>
  <c r="L4" i="7"/>
  <c r="L3" i="7"/>
  <c r="E93" i="1"/>
  <c r="E94" i="2"/>
  <c r="E80" i="2"/>
  <c r="E19" i="6"/>
  <c r="F19" i="6"/>
  <c r="E66" i="1"/>
  <c r="E79" i="1"/>
  <c r="E53" i="1"/>
  <c r="E39" i="1"/>
  <c r="E24" i="1"/>
  <c r="E66" i="2"/>
  <c r="F60" i="22" l="1"/>
  <c r="F61" i="22" s="1"/>
  <c r="G14" i="21"/>
  <c r="D17" i="10"/>
  <c r="E14" i="10"/>
  <c r="G9" i="10"/>
  <c r="D18" i="10" s="1"/>
  <c r="H18" i="10" s="1"/>
  <c r="H17" i="10"/>
  <c r="H19" i="10" s="1"/>
  <c r="E14" i="6"/>
  <c r="G9" i="6"/>
  <c r="D17" i="6"/>
  <c r="E53" i="2"/>
  <c r="E39" i="2"/>
  <c r="E25" i="2"/>
  <c r="E9" i="2"/>
  <c r="E9" i="1"/>
  <c r="G1" i="3"/>
  <c r="F1" i="3"/>
  <c r="J61" i="3"/>
  <c r="K56" i="3"/>
  <c r="F56" i="3"/>
  <c r="E56" i="3"/>
  <c r="K55" i="3"/>
  <c r="K54" i="3"/>
  <c r="K53" i="3"/>
  <c r="K52" i="3"/>
  <c r="K51" i="3"/>
  <c r="K50" i="3"/>
  <c r="K49" i="3"/>
  <c r="K48" i="3"/>
  <c r="K47" i="3"/>
  <c r="K46" i="3"/>
  <c r="K45" i="3"/>
  <c r="I43" i="3"/>
  <c r="I42" i="3"/>
  <c r="G6" i="3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H19" i="21" l="1"/>
  <c r="D19" i="21"/>
  <c r="H9" i="10"/>
  <c r="H14" i="10" s="1"/>
  <c r="D19" i="10"/>
  <c r="H17" i="6"/>
  <c r="G14" i="6"/>
  <c r="D18" i="6"/>
  <c r="H18" i="6" s="1"/>
  <c r="H9" i="6"/>
  <c r="H14" i="6" s="1"/>
  <c r="K57" i="3"/>
  <c r="F59" i="3" s="1"/>
  <c r="D19" i="6" l="1"/>
  <c r="F60" i="3"/>
  <c r="F61" i="3" s="1"/>
  <c r="E60" i="3"/>
  <c r="E61" i="3" s="1"/>
</calcChain>
</file>

<file path=xl/sharedStrings.xml><?xml version="1.0" encoding="utf-8"?>
<sst xmlns="http://schemas.openxmlformats.org/spreadsheetml/2006/main" count="1984" uniqueCount="807">
  <si>
    <t>Bevételi pénztárbizonylat</t>
  </si>
  <si>
    <t>Sorszám: PB</t>
  </si>
  <si>
    <t>által (megbízásából) fizetett</t>
  </si>
  <si>
    <t>forintot, azaz</t>
  </si>
  <si>
    <t>Kelt:</t>
  </si>
  <si>
    <t>forintot az alábbiak szerint bevételezni:</t>
  </si>
  <si>
    <t>Készpénzfor-
galmi jogcím</t>
  </si>
  <si>
    <t>Főkönyvi 
számlaszám</t>
  </si>
  <si>
    <t>Szöveg</t>
  </si>
  <si>
    <t>Összeg</t>
  </si>
  <si>
    <t>Utalványozó:</t>
  </si>
  <si>
    <t>Ellenőr:</t>
  </si>
  <si>
    <t>Összesen:</t>
  </si>
  <si>
    <t>Melléklet, db:</t>
  </si>
  <si>
    <t>Könyvelő:</t>
  </si>
  <si>
    <t>Pénztáros (Kiállító):</t>
  </si>
  <si>
    <t>Az összeg befizetőjének aláírása, személyi azonosító száma:</t>
  </si>
  <si>
    <t>Kiadási pénztárbizonylat</t>
  </si>
  <si>
    <t>Sorszám: PK</t>
  </si>
  <si>
    <t>részére kifizetett</t>
  </si>
  <si>
    <t>forintot az alábbiak szerint kiadásolni:</t>
  </si>
  <si>
    <t>Az összeg átvevőjének aláírása, személyi azonosító száma:</t>
  </si>
  <si>
    <t>Időszak:</t>
  </si>
  <si>
    <t>pénztár</t>
  </si>
  <si>
    <t>Sorszám:</t>
  </si>
  <si>
    <t>Sor-
szám</t>
  </si>
  <si>
    <t>Be-, 
kifizetés
 napja</t>
  </si>
  <si>
    <t>Bevételi&lt;&lt;&lt;&lt;&lt;&lt;</t>
  </si>
  <si>
    <t>Bevétel</t>
  </si>
  <si>
    <t>Kiadás</t>
  </si>
  <si>
    <t>Napi egyenleg</t>
  </si>
  <si>
    <t>&gt;&gt;&gt;&gt;&gt;&gt;&gt;Kiadási</t>
  </si>
  <si>
    <t>bizonylat sz.</t>
  </si>
  <si>
    <t>Ft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</si>
  <si>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</si>
  <si>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</si>
  <si>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</si>
  <si>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</si>
  <si>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</si>
  <si>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</si>
  <si>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</si>
  <si>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</si>
  <si>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</si>
  <si>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</si>
  <si>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</si>
  <si>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</si>
  <si>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</si>
  <si>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</si>
  <si>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</si>
  <si>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</si>
  <si>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</si>
  <si>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</si>
  <si>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</si>
  <si>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</si>
  <si>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</si>
  <si>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</si>
  <si>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</si>
  <si>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</si>
  <si>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</si>
  <si>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</si>
  <si>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</si>
  <si>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</si>
  <si>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</si>
  <si>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</si>
  <si>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</si>
  <si>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</si>
  <si>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</si>
  <si>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</si>
  <si>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</si>
  <si>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</si>
  <si>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</si>
  <si>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</si>
  <si>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</si>
  <si>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Címlet</t>
  </si>
  <si>
    <t>Darab</t>
  </si>
  <si>
    <t>Összesen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</si>
  <si>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</si>
  <si>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</si>
  <si>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</si>
  <si>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</si>
  <si>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</si>
  <si>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</si>
  <si>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</si>
  <si>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</si>
  <si>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</si>
  <si>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</si>
  <si>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</si>
  <si>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Forgalom, Átvitel:</t>
  </si>
  <si>
    <t>Kezdő pénzkészlet:</t>
  </si>
  <si>
    <t>Záró pénzkészlet nyilvántartás szerint:</t>
  </si>
  <si>
    <t>Mellékletek:</t>
  </si>
  <si>
    <t>Pénzkészlet leltározás szerint:</t>
  </si>
  <si>
    <t>Bevételi:</t>
  </si>
  <si>
    <t>db</t>
  </si>
  <si>
    <t>Hiány/többlet:</t>
  </si>
  <si>
    <t>Kiadási:</t>
  </si>
  <si>
    <t>Ellenőrző összesen:</t>
  </si>
  <si>
    <t>Cég neve:</t>
  </si>
  <si>
    <t>Pénztár megnevezése:</t>
  </si>
  <si>
    <t>Dátum:</t>
  </si>
  <si>
    <t>Szigorú számadású bizonylatok analitikája</t>
  </si>
  <si>
    <t>Oldalszám:</t>
  </si>
  <si>
    <t>Sorszám</t>
  </si>
  <si>
    <t>Nyomtatvány jele, számjele, neve</t>
  </si>
  <si>
    <t>Sorszámtól</t>
  </si>
  <si>
    <t>Sorszámig</t>
  </si>
  <si>
    <t>Beszerzési hely (kereskedő neve)</t>
  </si>
  <si>
    <t>Beszerzési bizonylat száma</t>
  </si>
  <si>
    <t>Beszerzés dátuma</t>
  </si>
  <si>
    <t>Használatba vétel dátuma</t>
  </si>
  <si>
    <t>Felhasználás dátuma</t>
  </si>
  <si>
    <t>Selejtezés
dátuma</t>
  </si>
  <si>
    <t>Tárolási hely, Megjegyzés</t>
  </si>
  <si>
    <t>Bejegyző neve</t>
  </si>
  <si>
    <t>Utolsó bejegyzés:</t>
  </si>
  <si>
    <t>Ellenőrizve:</t>
  </si>
  <si>
    <t>Ellenőr neve:</t>
  </si>
  <si>
    <t>Hrabovszki András</t>
  </si>
  <si>
    <t>Promp Integra Kft.</t>
  </si>
  <si>
    <t>Varga Béla</t>
  </si>
  <si>
    <t>Címfestő szolgáltatás (WE411/25)</t>
  </si>
  <si>
    <t>Varga Béla (444555AA)</t>
  </si>
  <si>
    <t>Kerekítési különbözet</t>
  </si>
  <si>
    <t>Nyolcvannégyezer-nyolcszázharmincöt</t>
  </si>
  <si>
    <t>1</t>
  </si>
  <si>
    <t>01</t>
  </si>
  <si>
    <t>Prompt Integra Kft.</t>
  </si>
  <si>
    <t>Papirex Kft.</t>
  </si>
  <si>
    <t>02</t>
  </si>
  <si>
    <t>Kerekítés</t>
  </si>
  <si>
    <t>Ötezer-ötszáznegyvenöt</t>
  </si>
  <si>
    <t>Nyomtatványok(KR12/2025)</t>
  </si>
  <si>
    <t>03</t>
  </si>
  <si>
    <t>PénzGyűjtő Bank</t>
  </si>
  <si>
    <t>Egymillió-hatszázezer</t>
  </si>
  <si>
    <t>Törzsbetét befizetés (PK/48/2025)</t>
  </si>
  <si>
    <t>PK01</t>
  </si>
  <si>
    <t>PK25</t>
  </si>
  <si>
    <t>Papirex Kft</t>
  </si>
  <si>
    <t>KR12/2025</t>
  </si>
  <si>
    <t>1058 Budapest, Fővám tér 8.</t>
  </si>
  <si>
    <t>PB01</t>
  </si>
  <si>
    <t>PB25</t>
  </si>
  <si>
    <t>KR12/2026</t>
  </si>
  <si>
    <t>Szigorú számadású nyilvántartás</t>
  </si>
  <si>
    <t>SZ01</t>
  </si>
  <si>
    <t>KR12/2027</t>
  </si>
  <si>
    <t>04</t>
  </si>
  <si>
    <t>Nyomtatványforgalmazó Bt.</t>
  </si>
  <si>
    <t>Nyomtatványok (PK/2-2025)</t>
  </si>
  <si>
    <t>Ezerháromszázkilencvenöt</t>
  </si>
  <si>
    <t>Pénztárjelentés nyomtatványtömb</t>
  </si>
  <si>
    <t>100 l számlatömb</t>
  </si>
  <si>
    <t>PJ01</t>
  </si>
  <si>
    <t>PJ020</t>
  </si>
  <si>
    <t>RL-791001</t>
  </si>
  <si>
    <t>RL11000</t>
  </si>
  <si>
    <t>PK/2-2025</t>
  </si>
  <si>
    <t>Alfonz Aladár</t>
  </si>
  <si>
    <t>Tagi Kölcsön</t>
  </si>
  <si>
    <t>Négyszázezer</t>
  </si>
  <si>
    <t>05</t>
  </si>
  <si>
    <t>Kilencvenezer-háromszáznyolcvan</t>
  </si>
  <si>
    <t>06</t>
  </si>
  <si>
    <t xml:space="preserve">Bélapátfalvi Bendegúz </t>
  </si>
  <si>
    <t xml:space="preserve">Cirmai Cecília </t>
  </si>
  <si>
    <t xml:space="preserve">Hrabovszki András </t>
  </si>
  <si>
    <t>Aláírás:</t>
  </si>
  <si>
    <t>A megbízás kelte:</t>
  </si>
  <si>
    <t>Közlemény:</t>
  </si>
  <si>
    <t>Átutalás összege forintban:</t>
  </si>
  <si>
    <t>Kedvezményezett pénzforgalmi jelzőszáma:</t>
  </si>
  <si>
    <t>Kedvezményezett neve:</t>
  </si>
  <si>
    <t>Fizető fél pénzforgalmi jelzőszáma:</t>
  </si>
  <si>
    <t>Fizető fél neve:</t>
  </si>
  <si>
    <t>Terhelési nap:</t>
  </si>
  <si>
    <t>Átutalási megbízás</t>
  </si>
  <si>
    <t>Pénzgyűjtő direkt: 06-40-571111</t>
  </si>
  <si>
    <t>1033 Budapest, Kézműves u. 3.</t>
  </si>
  <si>
    <t>PGy</t>
  </si>
  <si>
    <t>15151515-23232323-46464646</t>
  </si>
  <si>
    <t>Reklámfelület bérbeadás</t>
  </si>
  <si>
    <t>2025.10.16</t>
  </si>
  <si>
    <t>Group Media Ügynökség</t>
  </si>
  <si>
    <t xml:space="preserve"> 24242424-35353535-00000000</t>
  </si>
  <si>
    <t>0</t>
  </si>
  <si>
    <t>Tőke befizetés</t>
  </si>
  <si>
    <t>A számla végösszege</t>
  </si>
  <si>
    <t>ÁFA összege</t>
  </si>
  <si>
    <t>Számlaérték ÁFA nélkül</t>
  </si>
  <si>
    <t>TAM</t>
  </si>
  <si>
    <t>A számlában szereplő ÁFA részletezése</t>
  </si>
  <si>
    <t>Végösszeg:</t>
  </si>
  <si>
    <t>Ellenérték ÁFÁ-val</t>
  </si>
  <si>
    <t>Áthárított ÁFA</t>
  </si>
  <si>
    <t>ÁFA kulcs</t>
  </si>
  <si>
    <t>Értéke ÁFA nélkül</t>
  </si>
  <si>
    <t>Egységár (ÁFA nélkül)</t>
  </si>
  <si>
    <t>Mennyiség</t>
  </si>
  <si>
    <t>Menny. egység</t>
  </si>
  <si>
    <t>Termék vagy szolgáltatás megnevezése:</t>
  </si>
  <si>
    <t>Számla száma:</t>
  </si>
  <si>
    <t>Fizetés határideje:</t>
  </si>
  <si>
    <t>Számla kelte:</t>
  </si>
  <si>
    <t>Teljesítés időpontja:</t>
  </si>
  <si>
    <t>Fizetési mód:</t>
  </si>
  <si>
    <t>Vevő neve, címe, adóigazgatási azonosítója:</t>
  </si>
  <si>
    <t>A számlakibocsátó neve, címe,
adóigazgatási azonosítója:</t>
  </si>
  <si>
    <t>Számla</t>
  </si>
  <si>
    <t>01-09-200100</t>
  </si>
  <si>
    <t>General Architect Nyrt.</t>
  </si>
  <si>
    <t>1011 Budapest, Árpád fejedelem útja 2., adószám: 15111212-2-51</t>
  </si>
  <si>
    <t>Átutalás</t>
  </si>
  <si>
    <t>alkalom</t>
  </si>
  <si>
    <t>Árnyékolás technikai szakértői szolgáltatás</t>
  </si>
  <si>
    <t>Cannon 5L tintasugaras nyomtató (HY986/2025)</t>
  </si>
  <si>
    <t>Százötezer-százöt</t>
  </si>
  <si>
    <t>Irodaszer-ellátó Kft.</t>
  </si>
  <si>
    <t>07</t>
  </si>
  <si>
    <t>Százötvenezer</t>
  </si>
  <si>
    <t>Pénzfelvétel bankszámláról (TP425)</t>
  </si>
  <si>
    <t>Folyószámla analitika</t>
  </si>
  <si>
    <t>Vevő/Szállító</t>
  </si>
  <si>
    <t>Szállító</t>
  </si>
  <si>
    <t>Varga Tekla egyéni ügyvéd</t>
  </si>
  <si>
    <t>UJ44/2025</t>
  </si>
  <si>
    <t>UZ119/2025</t>
  </si>
  <si>
    <t>StarSite Group Kft.</t>
  </si>
  <si>
    <t>JJ8821/2025</t>
  </si>
  <si>
    <t>Vevő</t>
  </si>
  <si>
    <t>Partner</t>
  </si>
  <si>
    <t>Számlaszám</t>
  </si>
  <si>
    <t>Számla kelte</t>
  </si>
  <si>
    <t>Fizetési határidő</t>
  </si>
  <si>
    <t>Kifizetés dátuma</t>
  </si>
  <si>
    <t>Számla végösszege</t>
  </si>
  <si>
    <t>Kiegyenlített összeg</t>
  </si>
  <si>
    <t>Fennmaradó összeg</t>
  </si>
  <si>
    <t>Bankszámlaszáma</t>
  </si>
  <si>
    <t>24242424-35353535</t>
  </si>
  <si>
    <t xml:space="preserve"> 57595351-69874123</t>
  </si>
  <si>
    <t>85858585-76767676-45454545</t>
  </si>
  <si>
    <t>Áfa analitika</t>
  </si>
  <si>
    <t>Fizetendő/Levonható</t>
  </si>
  <si>
    <t>Áfa összege</t>
  </si>
  <si>
    <t>Nettó érték</t>
  </si>
  <si>
    <t>Áfa kulcs</t>
  </si>
  <si>
    <t>Bruttó érték</t>
  </si>
  <si>
    <t>Esemény</t>
  </si>
  <si>
    <t>Alapítás</t>
  </si>
  <si>
    <t>Reklám felületbérlés</t>
  </si>
  <si>
    <t>Tanácsadói szolgáltatás</t>
  </si>
  <si>
    <t>Webes szolgáltatás</t>
  </si>
  <si>
    <t>Bizonylatszám</t>
  </si>
  <si>
    <t>Partner neve</t>
  </si>
  <si>
    <t>adó alapja</t>
  </si>
  <si>
    <t>Áfa teljesítés időpontja</t>
  </si>
  <si>
    <t>Tétel</t>
  </si>
  <si>
    <t>Áfabevallás száma</t>
  </si>
  <si>
    <t>Előzetesen felszámított/
Fizetendő áfa</t>
  </si>
  <si>
    <t>Levonható/
 Nem levonható áfa</t>
  </si>
  <si>
    <t>Speciális</t>
  </si>
  <si>
    <t>WE411/25</t>
  </si>
  <si>
    <t>Címfestő szolgáltatás</t>
  </si>
  <si>
    <t>Előzetesen felszámított áfa</t>
  </si>
  <si>
    <t>Levonható</t>
  </si>
  <si>
    <t>Nyomtatványok</t>
  </si>
  <si>
    <t>UZ119/2025.</t>
  </si>
  <si>
    <t>JJ8821/2025.</t>
  </si>
  <si>
    <t>WebHosting szolgáltatás</t>
  </si>
  <si>
    <t>PK/2-2025.</t>
  </si>
  <si>
    <t>TE</t>
  </si>
  <si>
    <t>Fizetendő áfa</t>
  </si>
  <si>
    <t>-</t>
  </si>
  <si>
    <t>Cannon 5L tintasugaras nyomtató</t>
  </si>
  <si>
    <t>HY986/2025.</t>
  </si>
  <si>
    <t>Cégalapítás díja + Sikerdíj</t>
  </si>
  <si>
    <t>RL-791002</t>
  </si>
  <si>
    <t>Előtársaság</t>
  </si>
  <si>
    <t>Előlegfizetés, árnyékolásitechnikai elemek</t>
  </si>
  <si>
    <t>KR01</t>
  </si>
  <si>
    <t>Dátum</t>
  </si>
  <si>
    <t>Megnevezés</t>
  </si>
  <si>
    <t>Tartozik számla</t>
  </si>
  <si>
    <t>Követel számla</t>
  </si>
  <si>
    <t>Jegyzett tőke előírás</t>
  </si>
  <si>
    <t>411. Jegyzett tőke</t>
  </si>
  <si>
    <t>3.200.000</t>
  </si>
  <si>
    <t>412. Jegyzett, de
 még be nem fizetett tőke (-)</t>
  </si>
  <si>
    <t>Főkönyvi bizonylatok</t>
  </si>
  <si>
    <t>PB02</t>
  </si>
  <si>
    <t>PB03</t>
  </si>
  <si>
    <t>PB04</t>
  </si>
  <si>
    <t>PB05</t>
  </si>
  <si>
    <t>Tagi kölcsön</t>
  </si>
  <si>
    <t>PK02</t>
  </si>
  <si>
    <t>PK03</t>
  </si>
  <si>
    <t>PB06</t>
  </si>
  <si>
    <t>PK04</t>
  </si>
  <si>
    <t>PB07</t>
  </si>
  <si>
    <t>PK05</t>
  </si>
  <si>
    <t>Házi pénztár</t>
  </si>
  <si>
    <t>Költség</t>
  </si>
  <si>
    <t>Aktív/Passzív 
időbeli elhatárolás</t>
  </si>
  <si>
    <t>Aktív</t>
  </si>
  <si>
    <t>Elhatárolás vége</t>
  </si>
  <si>
    <t>Elhatárolás kezdete</t>
  </si>
  <si>
    <t>Beszámoló</t>
  </si>
  <si>
    <t>Elszámolás alapja</t>
  </si>
  <si>
    <t>Elhatárolás összege</t>
  </si>
  <si>
    <t>Időszak kezdete</t>
  </si>
  <si>
    <t>B001</t>
  </si>
  <si>
    <t>Bankköltségek</t>
  </si>
  <si>
    <t>Elhatárolt kamat</t>
  </si>
  <si>
    <t>Passzív</t>
  </si>
  <si>
    <t>Belső</t>
  </si>
  <si>
    <t>Költség/Ráfordítás/Bevétel</t>
  </si>
  <si>
    <t>Ráfordítás</t>
  </si>
  <si>
    <t>jegybanki alap kamat</t>
  </si>
  <si>
    <t>Elhatárolás analitika</t>
  </si>
  <si>
    <t>Fényzáró roló és 
szalagfüggöny</t>
  </si>
  <si>
    <t>OK1214/25</t>
  </si>
  <si>
    <t>56789320-41236589-78965412</t>
  </si>
  <si>
    <t>Villa Star Nyrt.</t>
  </si>
  <si>
    <t>2025.11.05</t>
  </si>
  <si>
    <t>HZ-7127</t>
  </si>
  <si>
    <t xml:space="preserve">Számítógép, OEM, Monitor </t>
  </si>
  <si>
    <t>Műszerház Kft.</t>
  </si>
  <si>
    <t>Áruvásárlás</t>
  </si>
  <si>
    <t>ÁFA BEVALLÁS</t>
  </si>
  <si>
    <t>I.</t>
  </si>
  <si>
    <t>Adózó azonosítószáma:</t>
  </si>
  <si>
    <t>Adózó neve:</t>
  </si>
  <si>
    <t>Ügyintéző neve:</t>
  </si>
  <si>
    <t>Telefonszáma:</t>
  </si>
  <si>
    <t>Bevallási időszak:</t>
  </si>
  <si>
    <t>Kezdete:</t>
  </si>
  <si>
    <t>Vége:</t>
  </si>
  <si>
    <t>Adózó belföldi pénzforgalmi vagy fizetési számlaszáma:</t>
  </si>
  <si>
    <t>Felelősségem tudatában kijelentem, hogy a bevallásban közölt adatok a valóságnak megfelelnek:</t>
  </si>
  <si>
    <t>helység</t>
  </si>
  <si>
    <t>kelt</t>
  </si>
  <si>
    <t>aláírás</t>
  </si>
  <si>
    <t>II.</t>
  </si>
  <si>
    <t>Fizetendő általános forgalmi adó</t>
  </si>
  <si>
    <t>eFt</t>
  </si>
  <si>
    <t>Az adó alapja</t>
  </si>
  <si>
    <t>Az adó összege</t>
  </si>
  <si>
    <t>5%-os kulcs alá tartozó értékesítés</t>
  </si>
  <si>
    <t>18%-os kulcs alá tartozó értékesítés</t>
  </si>
  <si>
    <t>27%-os kulcs alá tartozó értékesítés</t>
  </si>
  <si>
    <t>Adómentes értékesítés</t>
  </si>
  <si>
    <t>Közösségen belülről történő termékbeszerzés</t>
  </si>
  <si>
    <t>Különleges eljárással megállapított adó</t>
  </si>
  <si>
    <t>Saját vállalkozáson belül végzett beruházás után fizetendő adó:</t>
  </si>
  <si>
    <t>08</t>
  </si>
  <si>
    <t>Egyéb</t>
  </si>
  <si>
    <t>09</t>
  </si>
  <si>
    <t>10</t>
  </si>
  <si>
    <t>-ebből: tárgyi eszköz értékesítés</t>
  </si>
  <si>
    <t>11</t>
  </si>
  <si>
    <t>-ebből: apport értékesítés</t>
  </si>
  <si>
    <t>III.</t>
  </si>
  <si>
    <t>Beszerzést terhelő, előzetesen felszámított, levonható általános forgalmi adó</t>
  </si>
  <si>
    <t>12</t>
  </si>
  <si>
    <t>Adómentes belföldi termékbeszerzés</t>
  </si>
  <si>
    <t>13</t>
  </si>
  <si>
    <t>5%-os kulcs alá tartozó belföldi termékbeszerzés, szolgáltatás</t>
  </si>
  <si>
    <t>14</t>
  </si>
  <si>
    <t>18%-os kulcs alá tartozó belföldi termékbeszerzés, szolgáltatás</t>
  </si>
  <si>
    <t>15</t>
  </si>
  <si>
    <t>27%-os kulcs alá tartozó belföldi termékbeszerzés, szolgáltatás</t>
  </si>
  <si>
    <t>16</t>
  </si>
  <si>
    <t>Arányosítás alkalmazásával levonható adórész</t>
  </si>
  <si>
    <t>17</t>
  </si>
  <si>
    <t>Saját vállalkozáson belül végzett beruházás után:</t>
  </si>
  <si>
    <t>18</t>
  </si>
  <si>
    <t>19</t>
  </si>
  <si>
    <t>20</t>
  </si>
  <si>
    <t>21</t>
  </si>
  <si>
    <t>-ebből: tárgyi eszköz beszerzés után levonható adó</t>
  </si>
  <si>
    <t>22</t>
  </si>
  <si>
    <t>-ebből: apport beszerzés után levonható adó</t>
  </si>
  <si>
    <t>23</t>
  </si>
  <si>
    <t>-ebből: saját vállalkozásban megvalósuló, nem aktivált beruházás</t>
  </si>
  <si>
    <t>IV.</t>
  </si>
  <si>
    <t>24</t>
  </si>
  <si>
    <t>Előző időszakról beszámítható csökkentő tétel összege (előző bevallás 28. sorából)</t>
  </si>
  <si>
    <t>25</t>
  </si>
  <si>
    <t>Tárgyidőszaki fizetendő adó minusz levonható adó, előző időszaki csökk. tételt meghalaladó összege</t>
  </si>
  <si>
    <t>26</t>
  </si>
  <si>
    <t>Befizetendő adó (a 25. sor adata, ha előjel nélküli)</t>
  </si>
  <si>
    <t>27</t>
  </si>
  <si>
    <t>Visszaigényelhető adó összege (negatív 25. sor, ha visszaigénylésre egyébként jogosult)</t>
  </si>
  <si>
    <t>28</t>
  </si>
  <si>
    <t>Következő időszakra átvihető követelés</t>
  </si>
  <si>
    <t>12457899-2-42</t>
  </si>
  <si>
    <t>06200315203</t>
  </si>
  <si>
    <t>Budapest</t>
  </si>
  <si>
    <t>BP és Pest Megyei Kormányhivatal</t>
  </si>
  <si>
    <t>Huszonkétezer</t>
  </si>
  <si>
    <t>SZGK átírás</t>
  </si>
  <si>
    <t>PK06</t>
  </si>
  <si>
    <t>Reklámfelület bérbeadás ( JJ8821/2025.)</t>
  </si>
  <si>
    <t>Fényzáró roló és szalagfüggöny vásárlás ( OK1214/25)</t>
  </si>
  <si>
    <t>Poly Groupo Zrt.</t>
  </si>
  <si>
    <t>64793182-58963214-74125896</t>
  </si>
  <si>
    <t>Személygépjármű vásárlás ( HT556/2025.)</t>
  </si>
  <si>
    <t>2025.11.22</t>
  </si>
  <si>
    <t xml:space="preserve"> 64793182-58963214-74125896</t>
  </si>
  <si>
    <t>Személygépjármű vásárlás</t>
  </si>
  <si>
    <t>HT556/2025.</t>
  </si>
  <si>
    <t>RL-791003</t>
  </si>
  <si>
    <t>Szalagfüggöny</t>
  </si>
  <si>
    <t>Fényzáró roló</t>
  </si>
  <si>
    <t>Szalagfüggöny és roló vásárlás</t>
  </si>
  <si>
    <t>PJ02</t>
  </si>
  <si>
    <t>PK07</t>
  </si>
  <si>
    <t>Felelősségbiztosítás</t>
  </si>
  <si>
    <t>Car-Insurrance Zrt.</t>
  </si>
  <si>
    <t>Huszonkettőezer-egyszáz</t>
  </si>
  <si>
    <t>Előleg (RL-791002)</t>
  </si>
  <si>
    <t>eset</t>
  </si>
  <si>
    <t>KR02</t>
  </si>
  <si>
    <t>KR03</t>
  </si>
  <si>
    <t>KR04</t>
  </si>
  <si>
    <t>Előzetes felszámított áfa átvezetése (előtársaság)</t>
  </si>
  <si>
    <t>Fizetendő áfa átvezetése (előtársaság)</t>
  </si>
  <si>
    <t>Áfa pénzügyi rendezése (előtársaság)</t>
  </si>
  <si>
    <t>4661. Előzetes ÁFA</t>
  </si>
  <si>
    <t>4663. ÁFA átvezetési számla</t>
  </si>
  <si>
    <t>4662. Fizetendő ÁFA</t>
  </si>
  <si>
    <t>KR05</t>
  </si>
  <si>
    <t>KR06</t>
  </si>
  <si>
    <t>KR07</t>
  </si>
  <si>
    <t>fizetendő</t>
  </si>
  <si>
    <t>előzetesen</t>
  </si>
  <si>
    <t xml:space="preserve">2508A KIFIZETÉSEKKEL, JUTTATÁSOKKAL ÖSSZEFÜGGŐ ADÓRÓL, </t>
  </si>
  <si>
    <t>JÁRULÉKOKRÓL ÉS EGYÉB ADATOKRÓL, VALAMINT A SZAKKÉPZÉSI HOZZÁJÁRULÁSRÓL</t>
  </si>
  <si>
    <t>Székhelye:</t>
  </si>
  <si>
    <t>Bevallásban érintett természetes személyek száma:</t>
  </si>
  <si>
    <t>2508A-01 Személyi jövedelemadó</t>
  </si>
  <si>
    <t>Személyi jövedelemadó összesen</t>
  </si>
  <si>
    <t>egyes meghatározott juttatásokat terhelő</t>
  </si>
  <si>
    <t>béren kívüli juttatásokat terhelő</t>
  </si>
  <si>
    <t>önkormányzat által fizetendő 15%, illetve 8%-os adó</t>
  </si>
  <si>
    <t>reprezentáció, üzleti ajándék után fizetendő adó</t>
  </si>
  <si>
    <t>más, kifizetőt terhelő adó</t>
  </si>
  <si>
    <t>Természetes személytől levont személyi jövedelemadó összesen:</t>
  </si>
  <si>
    <t>Külföldi illetőségű term. személy osztalékból származó jövedelméből levont adó</t>
  </si>
  <si>
    <t>kamatjövedelmet terhelő adó</t>
  </si>
  <si>
    <t>fémkereskedelmi engedélyköteles anyag átruházására tekintettel levont adó</t>
  </si>
  <si>
    <t>vadon gyűjtött termék, termény értékesítésére levont adó</t>
  </si>
  <si>
    <t>a társasházaknak kifizetett jövedelemből levont adó</t>
  </si>
  <si>
    <t>Stabilitás Megtakarítási Számláról származó jövedelemből levont adó</t>
  </si>
  <si>
    <t>Egészségügyi hozzájárulás</t>
  </si>
  <si>
    <t>14%-os mértékű egészségügyi hozzájárulás</t>
  </si>
  <si>
    <t>19,5%-os mértékű egészségügyi hozzájárulás</t>
  </si>
  <si>
    <t>2508A-03 Magánszemélyenként megállapított adókötelezettségek</t>
  </si>
  <si>
    <t>Személyi jövedelemadó</t>
  </si>
  <si>
    <t>70</t>
  </si>
  <si>
    <t>Az összevont adóalapt terhelő, levont adóelőleg összege</t>
  </si>
  <si>
    <t>71</t>
  </si>
  <si>
    <t>A külön adózó jövedelmek adóalapját terhelő adó összege</t>
  </si>
  <si>
    <t>72</t>
  </si>
  <si>
    <t>Az osztalékelőleget terhelő adó összege</t>
  </si>
  <si>
    <t>73</t>
  </si>
  <si>
    <t>Személyi jövedelemadó kötelezettség összesen</t>
  </si>
  <si>
    <t>Szociális hozzájárulási adó</t>
  </si>
  <si>
    <t>86</t>
  </si>
  <si>
    <t>Kedvezménnyel nem érintett szociális hozzájárulási adó összesen</t>
  </si>
  <si>
    <t>87</t>
  </si>
  <si>
    <t>Kedvezményes szociális hozzájárulási adó összesen:</t>
  </si>
  <si>
    <t>88</t>
  </si>
  <si>
    <t>Szociális hozzájárulási adó kötelezettség összesen:</t>
  </si>
  <si>
    <t>Társadalombiztosítási alapot megillető bevétel:</t>
  </si>
  <si>
    <t>90</t>
  </si>
  <si>
    <t>Társadalombiztosítási járulék bevétel:</t>
  </si>
  <si>
    <t>Tagi Kölcsön Analitika</t>
  </si>
  <si>
    <t>Kölcsönadó</t>
  </si>
  <si>
    <t>Kamatláb</t>
  </si>
  <si>
    <t>Elszámolás napja</t>
  </si>
  <si>
    <t>Kamatösszege</t>
  </si>
  <si>
    <t>Kamat SZJA terhe</t>
  </si>
  <si>
    <t>Kamat SZOCHO terhe</t>
  </si>
  <si>
    <t>Bélapátfalvi Bendegúz</t>
  </si>
  <si>
    <t>Bizonylat sorszáma</t>
  </si>
  <si>
    <t>Összes kifizetés</t>
  </si>
  <si>
    <t>Hónap</t>
  </si>
  <si>
    <t>Munkavállaló</t>
  </si>
  <si>
    <t>Bruttó Bér</t>
  </si>
  <si>
    <t>SZJA</t>
  </si>
  <si>
    <t>TB</t>
  </si>
  <si>
    <t>Szocho</t>
  </si>
  <si>
    <t>November</t>
  </si>
  <si>
    <t>Nettó bér</t>
  </si>
  <si>
    <t>Munkáltatói teher</t>
  </si>
  <si>
    <t>Béranalitika</t>
  </si>
  <si>
    <t>869. Különféle egyéb ráfordítások</t>
  </si>
  <si>
    <t>969. Különféle egyéb bevételek</t>
  </si>
  <si>
    <t>KR08</t>
  </si>
  <si>
    <t>KR09</t>
  </si>
  <si>
    <t>BB - Tagi kölcsön kamata</t>
  </si>
  <si>
    <t>BB - Tagi kölcsön SZJA terhe</t>
  </si>
  <si>
    <t>BB - Tagi kölcsön SZOCHO terhe</t>
  </si>
  <si>
    <t>KR10</t>
  </si>
  <si>
    <t>KR11</t>
  </si>
  <si>
    <t>KR12</t>
  </si>
  <si>
    <t>Nyomtató aktiválása</t>
  </si>
  <si>
    <t>KR13</t>
  </si>
  <si>
    <t>Nyomtató écs elszámolása</t>
  </si>
  <si>
    <t>1251. Beruházások, felújítások bruttó értéke</t>
  </si>
  <si>
    <t>1231. Egyéb berendezések, felszerelések, járművek bruttó értéke</t>
  </si>
  <si>
    <t>53. Értékcsökkenési leírás</t>
  </si>
  <si>
    <t>4583. Tagi kölcsön</t>
  </si>
  <si>
    <t>872. Fizetendő kamatok és kamatjellegű ráfordítások</t>
  </si>
  <si>
    <t>461103. SZJA</t>
  </si>
  <si>
    <t>523 - Bérjárulékok</t>
  </si>
  <si>
    <t>461124. Szociális hozzájárulási adó</t>
  </si>
  <si>
    <t>KR14</t>
  </si>
  <si>
    <t>KR15</t>
  </si>
  <si>
    <t>KR16</t>
  </si>
  <si>
    <t>KR17</t>
  </si>
  <si>
    <t>4581. Jövedelem elsz. számla</t>
  </si>
  <si>
    <t>461125. Társadalombiztosítási járulék</t>
  </si>
  <si>
    <t>521. Bérköltség</t>
  </si>
  <si>
    <t>Munkavállalónak fizetve nettóban</t>
  </si>
  <si>
    <t>AA-Bruttó bér november</t>
  </si>
  <si>
    <t>AA-SZJA november</t>
  </si>
  <si>
    <t>AA-TB november</t>
  </si>
  <si>
    <t>AA-SZOCHO november</t>
  </si>
  <si>
    <t>BB-Bruttó bér november</t>
  </si>
  <si>
    <t>BB-SZJA november</t>
  </si>
  <si>
    <t>BB-TB november</t>
  </si>
  <si>
    <t>BB-SZOCHO november</t>
  </si>
  <si>
    <t>CC-Bruttó bér november</t>
  </si>
  <si>
    <t>CC-SZJA november</t>
  </si>
  <si>
    <t>CC-TB november</t>
  </si>
  <si>
    <t>CC-SZOCHO november</t>
  </si>
  <si>
    <t>HA-Bruttó bér november</t>
  </si>
  <si>
    <t>HA-SZJA november</t>
  </si>
  <si>
    <t>HA-TB november</t>
  </si>
  <si>
    <t>HA-SZOCHO november</t>
  </si>
  <si>
    <t>KR18</t>
  </si>
  <si>
    <t>KR19</t>
  </si>
  <si>
    <t>KR20</t>
  </si>
  <si>
    <t>KR21</t>
  </si>
  <si>
    <t>KR22</t>
  </si>
  <si>
    <t>KR23</t>
  </si>
  <si>
    <t>KR24</t>
  </si>
  <si>
    <t>KR25</t>
  </si>
  <si>
    <t>KR26</t>
  </si>
  <si>
    <t>KR27</t>
  </si>
  <si>
    <t>KR28</t>
  </si>
  <si>
    <t>KR29</t>
  </si>
  <si>
    <t>1232.  Egyéb berendezések, felszerelések, járművek terv sz. értékcsökkenése</t>
  </si>
  <si>
    <t>KR30</t>
  </si>
  <si>
    <t>BB - Tag kölcsön elszámolása</t>
  </si>
  <si>
    <t>412. Jegyzett, de még be nem fizetett tőke (-)</t>
  </si>
  <si>
    <t>BB - Tagi kölcsön kamatának elszámolása</t>
  </si>
  <si>
    <t>Főkönyvi kivonat</t>
  </si>
  <si>
    <t>Időszak: 20251003 - 20251022</t>
  </si>
  <si>
    <t>Forgalom</t>
  </si>
  <si>
    <t>Egyenleg</t>
  </si>
  <si>
    <t>Fők.szám</t>
  </si>
  <si>
    <t>Tartozik</t>
  </si>
  <si>
    <t>Követel</t>
  </si>
  <si>
    <t xml:space="preserve">1231 </t>
  </si>
  <si>
    <t>Egyéb berendezések, felszerelések, járművek bruttó értéke</t>
  </si>
  <si>
    <t xml:space="preserve">1232 </t>
  </si>
  <si>
    <t>Egyéb berendezések, felszerelések, járművek terv sz. értékcsökkenése</t>
  </si>
  <si>
    <t xml:space="preserve">1251 </t>
  </si>
  <si>
    <t>Beruházások, felújítások bruttó értéke</t>
  </si>
  <si>
    <t xml:space="preserve">1 </t>
  </si>
  <si>
    <t>Befektetett eszközök</t>
  </si>
  <si>
    <t xml:space="preserve">3111 </t>
  </si>
  <si>
    <t>Követelések áruszállításból és szolgáltatásból (vevők); nem devizás</t>
  </si>
  <si>
    <t xml:space="preserve">381 </t>
  </si>
  <si>
    <t>Pénztár, csekkek</t>
  </si>
  <si>
    <t xml:space="preserve">3821 </t>
  </si>
  <si>
    <t>Elszámolási betét (bank)</t>
  </si>
  <si>
    <t xml:space="preserve">38291 </t>
  </si>
  <si>
    <t>Átvezetés számla bank-pénztár, pénztár-bank</t>
  </si>
  <si>
    <t xml:space="preserve">38292 </t>
  </si>
  <si>
    <t>Átvezetés számla bank-bank</t>
  </si>
  <si>
    <t xml:space="preserve">391 </t>
  </si>
  <si>
    <t>Bevételek aktív időbeli elhatárolása</t>
  </si>
  <si>
    <t xml:space="preserve">392 </t>
  </si>
  <si>
    <t>Költségek, ráfordítások aktív időbeli elhatárolása</t>
  </si>
  <si>
    <t xml:space="preserve">3 </t>
  </si>
  <si>
    <t>Követelések, értékp., pénzeszk. és akt.id. elh.</t>
  </si>
  <si>
    <t xml:space="preserve">411 </t>
  </si>
  <si>
    <t>Jegyzett tőke</t>
  </si>
  <si>
    <t xml:space="preserve">412 </t>
  </si>
  <si>
    <t>Jegyzett, de még be nem fizetett tőke (-)</t>
  </si>
  <si>
    <t xml:space="preserve">4541 </t>
  </si>
  <si>
    <t>Kötelezettségek áruszállításból és szolgáltatásból (szállítók); nem devizás</t>
  </si>
  <si>
    <t xml:space="preserve">4583 </t>
  </si>
  <si>
    <t>Tagi kölcsönök</t>
  </si>
  <si>
    <t xml:space="preserve">4661 </t>
  </si>
  <si>
    <t>Előzetes ÁFA</t>
  </si>
  <si>
    <t xml:space="preserve">4662 </t>
  </si>
  <si>
    <t>Fizetendő ÁFA</t>
  </si>
  <si>
    <t xml:space="preserve">4663 </t>
  </si>
  <si>
    <t>ÁFA átvezetési számla</t>
  </si>
  <si>
    <t xml:space="preserve">492 </t>
  </si>
  <si>
    <t>Költségek, ráfordítások passzív időbeli elhatárolása</t>
  </si>
  <si>
    <t xml:space="preserve">4 </t>
  </si>
  <si>
    <t>Források</t>
  </si>
  <si>
    <t xml:space="preserve">511 </t>
  </si>
  <si>
    <t>Anyagköltség</t>
  </si>
  <si>
    <t xml:space="preserve">512 </t>
  </si>
  <si>
    <t>Igénybe vett szolgáltatások értéke</t>
  </si>
  <si>
    <t xml:space="preserve">513 </t>
  </si>
  <si>
    <t>Egyéb szolgáltatások értéke</t>
  </si>
  <si>
    <t xml:space="preserve">53 </t>
  </si>
  <si>
    <t>Értékcsökkenési leírás</t>
  </si>
  <si>
    <t xml:space="preserve">5 </t>
  </si>
  <si>
    <t>Költségnemek</t>
  </si>
  <si>
    <t xml:space="preserve">869 </t>
  </si>
  <si>
    <t>Egyéb egyéb ráfordítások</t>
  </si>
  <si>
    <t xml:space="preserve">874 </t>
  </si>
  <si>
    <t>Pénzügyi műveletek egyéb ráfordításai</t>
  </si>
  <si>
    <t xml:space="preserve">8 </t>
  </si>
  <si>
    <t>Ráfordítások</t>
  </si>
  <si>
    <t xml:space="preserve">911 </t>
  </si>
  <si>
    <t>Belföldi értékesítés nettó árbevétele</t>
  </si>
  <si>
    <t xml:space="preserve">969 </t>
  </si>
  <si>
    <t>Különféle egyéb bevételek</t>
  </si>
  <si>
    <t xml:space="preserve">975 </t>
  </si>
  <si>
    <t>Pénzügyi műveletek egyéb bevételei</t>
  </si>
  <si>
    <t xml:space="preserve">9 </t>
  </si>
  <si>
    <t>Hozamok</t>
  </si>
  <si>
    <t>0..9</t>
  </si>
  <si>
    <t>Mindösszesen</t>
  </si>
  <si>
    <t>TÁRSASÁGI ADÓ BEVALLÁS</t>
  </si>
  <si>
    <t>2529-01 Társasági adó bevallása</t>
  </si>
  <si>
    <t>Adózás előtti eredmény</t>
  </si>
  <si>
    <t>Adózás előtti eredményt csökkentő tételek összesen:</t>
  </si>
  <si>
    <t>Adózás előtti eredményt növelő tételek összesen:</t>
  </si>
  <si>
    <t>Adóalap:</t>
  </si>
  <si>
    <t>Társasági adó:</t>
  </si>
  <si>
    <t>Adókedvezmények:</t>
  </si>
  <si>
    <t>Fizetendő adó:</t>
  </si>
  <si>
    <t>2529-03 Adózás előtti eredményt csökkentő jogcímek</t>
  </si>
  <si>
    <t>Az előző évek elhatárolt veszteségéből (negatív adóalapjából) az adóévben leírt összeg:</t>
  </si>
  <si>
    <t>A várható kötelezettségekre és jövőbeni költségekre képzett céltartalék bevételként elszámolt része</t>
  </si>
  <si>
    <t>A terven felüli értékcsökkenés adóévben visszaírt összege</t>
  </si>
  <si>
    <t>Az adótörvény szerint figyelembe vett értékcsökkenési leírás összege</t>
  </si>
  <si>
    <t>Kapott, járó, bevételként elszámolt osztalék és részesedés</t>
  </si>
  <si>
    <t>Új eszközök üzembe helyezése érdekében elszámolt adóévi beruházások értéke</t>
  </si>
  <si>
    <t>2529-04 Adózás előtti eredményt növelő jogcímek</t>
  </si>
  <si>
    <t>Várható kötelezettségekre, és a jövőbeni költségekre képzett céltartalék, céltartalékot növelő összeg</t>
  </si>
  <si>
    <t>Számviteli törvény szerint elszámolt terv szerinti értékcsökkenés összege</t>
  </si>
  <si>
    <t>Nem a vállalkozási, bevételszerző tevékenységgel kapcsolatos költségek, ráfordítások</t>
  </si>
  <si>
    <t>Jogerős határozatban megállapított bírság, az Art. és a Tb-törvények szerinti jogkövetkezmények</t>
  </si>
  <si>
    <t>Az adóévben követelésre elszámolt értékvesztés összege</t>
  </si>
  <si>
    <t>Behajthatatlan követelésnek nem minősülő, adóévben elengedett követelés</t>
  </si>
  <si>
    <t>Adóellenőrzés, önellenőrzés során megállapított, költségként, ráfordításként […] elszámolt összeg</t>
  </si>
  <si>
    <t>2529-07 Eredménykimutatáshoz kapcsolódó adatok</t>
  </si>
  <si>
    <t>Értékesítés nettó árbevétele</t>
  </si>
  <si>
    <t>Aktivált saját teljesítmény</t>
  </si>
  <si>
    <t>Egyéb bevétel</t>
  </si>
  <si>
    <t>Anyagi jellegű ráfordítások</t>
  </si>
  <si>
    <t>Személyi jellegű ráfordítások</t>
  </si>
  <si>
    <t>Értékcsökkenés</t>
  </si>
  <si>
    <t>29</t>
  </si>
  <si>
    <t>Egyéb ráfordítások</t>
  </si>
  <si>
    <t>30</t>
  </si>
  <si>
    <t>Üzemi üzleti műveletek eredménye</t>
  </si>
  <si>
    <t>31</t>
  </si>
  <si>
    <t>Pénzügyi műveletek bevétele</t>
  </si>
  <si>
    <t>32</t>
  </si>
  <si>
    <t>Pénzügyi műveletek ráfordítása</t>
  </si>
  <si>
    <t>33</t>
  </si>
  <si>
    <t>Pénzügyi műveletek eredménye</t>
  </si>
  <si>
    <t>34</t>
  </si>
  <si>
    <t>25HIPA</t>
  </si>
  <si>
    <t>Helyi iparűzési adó bevallás</t>
  </si>
  <si>
    <t>Főlap</t>
  </si>
  <si>
    <t>1. Éves bevallás</t>
  </si>
  <si>
    <t>2. Záró bevallás</t>
  </si>
  <si>
    <t>I. Bevallás jellege:</t>
  </si>
  <si>
    <t>3. Előtársasági bevallás</t>
  </si>
  <si>
    <t>4. Naptári évtől eltérő üzleti évet választó adózó bevallása</t>
  </si>
  <si>
    <t>II. Bevallott időszak:</t>
  </si>
  <si>
    <t>5. Év közben kezdő adózó bevallása</t>
  </si>
  <si>
    <t>6. Naptári évtől eltérő üzleti évet választó adózó áttérésének évéről készült évközi bevallása</t>
  </si>
  <si>
    <t>III. A záró bevallás benyújtásának oka:</t>
  </si>
  <si>
    <t xml:space="preserve">8. állandó jellegű iparűzési tevékenységgé váló tevékenység után benyújtott bevallás </t>
  </si>
  <si>
    <t>9. A kisadózó vállalkozás tételes adójának alanyaként benyújtott bevallás</t>
  </si>
  <si>
    <t>IV. Bevallásban szereplő betétlapok</t>
  </si>
  <si>
    <t>A</t>
  </si>
  <si>
    <t>B</t>
  </si>
  <si>
    <t>C</t>
  </si>
  <si>
    <t>D</t>
  </si>
  <si>
    <t>E</t>
  </si>
  <si>
    <t>F</t>
  </si>
  <si>
    <t>G</t>
  </si>
  <si>
    <t>H</t>
  </si>
  <si>
    <t>10. A Htv. 39/E. §-a szerint mentes adóalany bevallása</t>
  </si>
  <si>
    <t>11. Önellenőrzés</t>
  </si>
  <si>
    <t>V. Adóalany</t>
  </si>
  <si>
    <t>1. Felszámolás</t>
  </si>
  <si>
    <t>1. Az adóalany neve:</t>
  </si>
  <si>
    <t>2. Az adóalany azonosítója:</t>
  </si>
  <si>
    <t>2. Végelszámolás</t>
  </si>
  <si>
    <t>3. Székhelye:</t>
  </si>
  <si>
    <t>3. Átalakulás</t>
  </si>
  <si>
    <t>4. A tevékenység saját elhatározásból történő megszüntetése</t>
  </si>
  <si>
    <t>4. A bevallást kitöltő neve:</t>
  </si>
  <si>
    <t>5. Hatósági megszűntetés</t>
  </si>
  <si>
    <t>VI. Az adó alapjának egyszerűsített módját választók nyilatkozata:</t>
  </si>
  <si>
    <t>9. Egyszerűsített vállalkozói adóalanyiság megszűnése</t>
  </si>
  <si>
    <t>Az adóévre az adóalap egyszerűsített megállapítási módját választom:</t>
  </si>
  <si>
    <t>10. Egyéni vállalkozói tevékenység szüneteltetése</t>
  </si>
  <si>
    <t>11. A kisadózó vállalkozások tételes adójában az adóalanyiság év közben való keletkezése</t>
  </si>
  <si>
    <t>12. A kisadózó vállalkozások tételes adójában az adóalanyiság megszűnése</t>
  </si>
  <si>
    <t>VII. Adó</t>
  </si>
  <si>
    <t>13. A kisvállalati adóban az adóalanyiság megszűnése</t>
  </si>
  <si>
    <t>14. A települési önkormányzat adórendeletének hatályon kívül helyezése</t>
  </si>
  <si>
    <t xml:space="preserve">1. Htv. szerinti - vállalkozási szintű - éves nettó árbevétel (részletezése külön lapon található) </t>
  </si>
  <si>
    <t>15. Egyéb</t>
  </si>
  <si>
    <t>2. Eladott áruk beszerzési értékének, közvetített szolgáltatások értékének figyelembe vehető együttes összege</t>
  </si>
  <si>
    <t>3. Az alvállalkozói teljesítések értéke</t>
  </si>
  <si>
    <t>a) a személy jövedelemadóról szóló törvény szerinti átalányadózóként</t>
  </si>
  <si>
    <t>b) az egyszerűsített vállalkozói adó alanyaként</t>
  </si>
  <si>
    <t>4. Anyagköltség</t>
  </si>
  <si>
    <t>c) az adóévben 8 millió forintot meg nem haladó nettó árbevételű adóalanyként</t>
  </si>
  <si>
    <t>d) a kisvállalati adó hatálya alá tartozó adóalanyként</t>
  </si>
  <si>
    <t>5. Alapkutatás, alkalmazott kutatás, kísérleti fejlesztés adóévben elszámolt közvetlen költsége</t>
  </si>
  <si>
    <t>6. Htv. szerinti – vállalkozási szintű – adóalap [1-(2+3+4+5)]</t>
  </si>
  <si>
    <t>7. A foglalkoztatás növeléséhez kapcsolódó adóalap-mentesség</t>
  </si>
  <si>
    <t>8. A foglalkoztatás csökkentéséhez kapcsolódó adóalap-növekmény</t>
  </si>
  <si>
    <t>9. Mentességekkel korrigált Htv. szerinti – vállalkozási szintű – adóalap [6-7+8]</t>
  </si>
  <si>
    <t>10. Az önkormányzat illetékességi területére jutó települési szintű adóalap</t>
  </si>
  <si>
    <t>11. Adómentes adóalap önkormányzati döntés alapján</t>
  </si>
  <si>
    <t>12. Az önkormányzati rendelet szerinti adóköteles adóalap (10-11)</t>
  </si>
  <si>
    <t>13. Adóalapra jutó iparűzési adó összege (12. sor * 2%)</t>
  </si>
  <si>
    <t>14. Önkormányzati döntés szerinti adókedvezmény</t>
  </si>
  <si>
    <t>15. Az ideigl. jell. iparűzési tevékenység után az adóévben megfiz. és az önk.-nál levonható adóátalány összege</t>
  </si>
  <si>
    <t>16. Az adóévben megfizetett útdíj 7,5 %-ának a településre jutó összege</t>
  </si>
  <si>
    <t>17. Iparűzési adófizetési kötelezettség [13-(14+15+16)]</t>
  </si>
  <si>
    <t>18. Az önkormányzatra jutó adóátalány összege</t>
  </si>
  <si>
    <t>19. Külföldön létesített telephelyre jutó adóalap</t>
  </si>
  <si>
    <t>20. Az adóévben megfizetett e-útdíj 7,5 %-a</t>
  </si>
  <si>
    <t>VIII. Adóelőleg bevallása</t>
  </si>
  <si>
    <t>1. Előlegfizetési időszak</t>
  </si>
  <si>
    <t>2. Első előlegrészlet</t>
  </si>
  <si>
    <t>Esedékessége</t>
  </si>
  <si>
    <t>Összege:</t>
  </si>
  <si>
    <t>3. Második előlegrészlet</t>
  </si>
  <si>
    <t>IX. Felelősségem tudatában kijelentem, hogy a bevallásban közölt adatok a valóságnak megfelelnek</t>
  </si>
  <si>
    <t>év</t>
  </si>
  <si>
    <t>hó</t>
  </si>
  <si>
    <t>nap</t>
  </si>
  <si>
    <t>A. jelű betétlap: Vállalkozók nettó árbevételének a kiszámítása</t>
  </si>
  <si>
    <t>I. Adóalany</t>
  </si>
  <si>
    <t>Nettó árbevétel</t>
  </si>
  <si>
    <t xml:space="preserve"> </t>
  </si>
  <si>
    <t>1. Htv. szerinti - vállalkozási szintű - éves nettó árbevétel [2-3-4-5-6]</t>
  </si>
  <si>
    <t>2. A számviteli törvény szerinti nettó árbevétel</t>
  </si>
  <si>
    <t>3. A társasági adóról és az osztalékadóról szóló törvény szerinti jogdíjbevétel</t>
  </si>
  <si>
    <t>4. Egyéb szolgáltatások értékeként, illetve egyéb ráfordítások között kimutatott jövedéki adó összege</t>
  </si>
  <si>
    <t>5. Egyéb ráfordítások között kimutatott regisztrációs adó, energia adó összege</t>
  </si>
  <si>
    <t>6. Felszolgálási díj árbevétele</t>
  </si>
  <si>
    <t>B. jelű betétlap: Hitelintézetek és pénzügyi vállalkozások nettó árbevételének a kiszámítása</t>
  </si>
  <si>
    <t>C. jelű betétlap: Biztosítók nettó árbevételének a kiszámítása</t>
  </si>
  <si>
    <t>D. jelű betétlap: Befektetési vállalkozások nettó árbevételének a kiszámítása</t>
  </si>
  <si>
    <t>E. jelű betétlap: Az eladott áruk beszerzési értéke és a közvetített szolgáltatások értéke figyelembe vehető együttes
összege, kapcsolt vállalkozás adóalapja</t>
  </si>
  <si>
    <t>F. jelű betétlap: A vállalkozási szintű adóalap megosztása</t>
  </si>
  <si>
    <t>G. jelű betétlap: Nyilatkozat túlfizetésről</t>
  </si>
  <si>
    <t>H. jelű betétlap: Önellenőrzési pótlék bevallása</t>
  </si>
  <si>
    <t>I. jelű betétlap: Az éves beszámolót IFRS alapján készítő vállalkozás részére</t>
  </si>
  <si>
    <t>x</t>
  </si>
  <si>
    <t>KR31</t>
  </si>
  <si>
    <t>4621. HIPA</t>
  </si>
  <si>
    <t>8639. Önkormányzati adók</t>
  </si>
  <si>
    <t xml:space="preserve">HIPA kötelezettség </t>
  </si>
  <si>
    <t xml:space="preserve">4621 </t>
  </si>
  <si>
    <t>HIPA</t>
  </si>
  <si>
    <t xml:space="preserve">8639 </t>
  </si>
  <si>
    <t>Önkormányzati adók</t>
  </si>
  <si>
    <t>KR32</t>
  </si>
  <si>
    <t xml:space="preserve">TAO kötelezettség </t>
  </si>
  <si>
    <t>461101. TAO</t>
  </si>
  <si>
    <t>89. Nyereséget terhelő adó</t>
  </si>
  <si>
    <t>Azonosító adatok</t>
  </si>
  <si>
    <t>Növekedés</t>
  </si>
  <si>
    <t>Csökkenés</t>
  </si>
  <si>
    <t>Terv szerinti értékcsökkenés</t>
  </si>
  <si>
    <t>Főkönyvi szám</t>
  </si>
  <si>
    <t>Terven felüli értékcsökkenés</t>
  </si>
  <si>
    <t>HY986/2025</t>
  </si>
  <si>
    <t>Értékcsökkenés paraméterek: 200 EFt alatti értékű eszköz</t>
  </si>
  <si>
    <t>Aktiválás</t>
  </si>
  <si>
    <t>KR33</t>
  </si>
  <si>
    <t>Értékcsökkenés paraméterek: 2 év</t>
  </si>
  <si>
    <t>KR34</t>
  </si>
  <si>
    <t>KR35</t>
  </si>
  <si>
    <t>KR36</t>
  </si>
  <si>
    <t>Értékcsökkenés paraméterek: 5 év</t>
  </si>
  <si>
    <t>KR37</t>
  </si>
  <si>
    <t>Ráaktiválás</t>
  </si>
  <si>
    <t>KR38</t>
  </si>
  <si>
    <t>KR39</t>
  </si>
  <si>
    <t>Terven felüli écs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</si>
</sst>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\ &quot;Ft&quot;_-;\-* #,##0.00\ &quot;Ft&quot;_-;_-* &quot;-&quot;??\ &quot;Ft&quot;_-;_-@_-"/>
    <numFmt numFmtId="165" formatCode="_-* #,##0.00\ _F_t_-;\-* #,##0.00\ _F_t_-;_-* &quot;-&quot;??\ _F_t_-;_-@_-"/>
    <numFmt numFmtId="166" formatCode="yyyy/mm/dd/"/>
    <numFmt numFmtId="167" formatCode="yyyy/mm/dd;@"/>
    <numFmt numFmtId="168" formatCode="[$-40E]mmm/\ d\.;@"/>
    <numFmt numFmtId="169" formatCode="#,##0\ &quot;Ft&quot;"/>
    <numFmt numFmtId="170" formatCode="_-* #,##0\ &quot;Ft&quot;_-;\-* #,##0\ &quot;Ft&quot;_-;_-* &quot;-&quot;??\ &quot;Ft&quot;_-;_-@_-"/>
  </numFmts>
  <fonts count="25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Times New Roman"/>
      <family val="1"/>
      <charset val="238"/>
    </font>
    <font>
      <sz val="10"/>
      <name val="Arial"/>
      <family val="2"/>
      <charset val="238"/>
    </font>
    <font>
      <sz val="8"/>
      <name val="Times New Roman"/>
      <family val="1"/>
      <charset val="238"/>
    </font>
    <font>
      <b/>
      <sz val="8"/>
      <name val="Times New Roman"/>
      <family val="1"/>
      <charset val="238"/>
    </font>
    <font>
      <b/>
      <i/>
      <sz val="8"/>
      <name val="Times New Roman"/>
      <family val="1"/>
      <charset val="238"/>
    </font>
    <font>
      <sz val="10"/>
      <name val="Arial CE"/>
      <charset val="238"/>
    </font>
    <font>
      <b/>
      <sz val="10"/>
      <name val="Times New Roman"/>
      <family val="1"/>
      <charset val="238"/>
    </font>
    <font>
      <sz val="10"/>
      <color theme="1"/>
      <name val="Times New Roman"/>
      <family val="1"/>
      <charset val="238"/>
    </font>
    <font>
      <b/>
      <i/>
      <sz val="11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i/>
      <sz val="25"/>
      <color theme="1"/>
      <name val="Baskerville Old Face"/>
      <family val="1"/>
    </font>
    <font>
      <b/>
      <sz val="11"/>
      <color theme="1"/>
      <name val="Calibri"/>
      <family val="2"/>
      <charset val="238"/>
      <scheme val="minor"/>
    </font>
    <font>
      <sz val="8"/>
      <color theme="1"/>
      <name val="Calibri"/>
      <family val="2"/>
      <charset val="238"/>
      <scheme val="minor"/>
    </font>
    <font>
      <b/>
      <sz val="8"/>
      <color theme="1"/>
      <name val="Calibri"/>
      <family val="2"/>
      <charset val="238"/>
      <scheme val="minor"/>
    </font>
    <font>
      <sz val="11"/>
      <color rgb="FF363636"/>
      <name val="Trebuchet MS"/>
      <family val="2"/>
      <charset val="238"/>
    </font>
    <font>
      <sz val="11"/>
      <color rgb="FF333333"/>
      <name val="Trebuchet MS"/>
      <family val="2"/>
      <charset val="238"/>
    </font>
    <font>
      <sz val="8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b/>
      <sz val="11"/>
      <color rgb="FF000000"/>
      <name val="Calibri"/>
      <family val="2"/>
      <charset val="238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BC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3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7" fillId="0" borderId="0"/>
    <xf numFmtId="9" fontId="22" fillId="0" borderId="0" applyFont="0" applyFill="0" applyBorder="0" applyAlignment="0" applyProtection="0"/>
    <xf numFmtId="0" fontId="23" fillId="0" borderId="0"/>
  </cellStyleXfs>
  <cellXfs count="329">
    <xf numFmtId="0" fontId="0" fillId="0" borderId="0" xfId="0"/>
    <xf numFmtId="0" fontId="2" fillId="0" borderId="0" xfId="1" applyFont="1" applyAlignment="1">
      <alignment horizontal="right"/>
    </xf>
    <xf numFmtId="49" fontId="2" fillId="2" borderId="1" xfId="1" applyNumberFormat="1" applyFont="1" applyFill="1" applyBorder="1"/>
    <xf numFmtId="0" fontId="2" fillId="0" borderId="0" xfId="1" applyFont="1"/>
    <xf numFmtId="166" fontId="2" fillId="2" borderId="1" xfId="1" applyNumberFormat="1" applyFont="1" applyFill="1" applyBorder="1"/>
    <xf numFmtId="0" fontId="2" fillId="0" borderId="1" xfId="1" applyFont="1" applyBorder="1" applyAlignment="1">
      <alignment vertical="center" wrapText="1"/>
    </xf>
    <xf numFmtId="0" fontId="2" fillId="0" borderId="1" xfId="1" applyFont="1" applyBorder="1" applyAlignment="1">
      <alignment vertical="center"/>
    </xf>
    <xf numFmtId="3" fontId="2" fillId="2" borderId="1" xfId="1" applyNumberFormat="1" applyFont="1" applyFill="1" applyBorder="1"/>
    <xf numFmtId="0" fontId="1" fillId="0" borderId="0" xfId="1"/>
    <xf numFmtId="0" fontId="2" fillId="0" borderId="1" xfId="1" applyFont="1" applyBorder="1"/>
    <xf numFmtId="3" fontId="2" fillId="0" borderId="1" xfId="1" applyNumberFormat="1" applyFont="1" applyBorder="1"/>
    <xf numFmtId="0" fontId="4" fillId="0" borderId="0" xfId="2" applyFont="1"/>
    <xf numFmtId="0" fontId="4" fillId="0" borderId="8" xfId="2" applyFont="1" applyBorder="1" applyAlignment="1">
      <alignment horizontal="center" vertical="center" wrapText="1"/>
    </xf>
    <xf numFmtId="168" fontId="4" fillId="0" borderId="6" xfId="2" applyNumberFormat="1" applyFont="1" applyBorder="1" applyAlignment="1">
      <alignment horizontal="center" vertical="center" wrapText="1"/>
    </xf>
    <xf numFmtId="0" fontId="5" fillId="0" borderId="11" xfId="2" applyFont="1" applyBorder="1" applyAlignment="1">
      <alignment horizontal="center" vertical="center" wrapText="1"/>
    </xf>
    <xf numFmtId="0" fontId="5" fillId="0" borderId="15" xfId="2" applyFont="1" applyBorder="1" applyAlignment="1">
      <alignment horizontal="center" vertical="center" wrapText="1"/>
    </xf>
    <xf numFmtId="0" fontId="5" fillId="0" borderId="18" xfId="2" applyFont="1" applyBorder="1" applyAlignment="1">
      <alignment horizontal="center" vertical="center" wrapText="1"/>
    </xf>
    <xf numFmtId="49" fontId="5" fillId="0" borderId="9" xfId="2" applyNumberFormat="1" applyFont="1" applyBorder="1" applyAlignment="1">
      <alignment horizontal="center"/>
    </xf>
    <xf numFmtId="3" fontId="4" fillId="0" borderId="9" xfId="3" applyNumberFormat="1" applyFont="1" applyFill="1" applyBorder="1"/>
    <xf numFmtId="0" fontId="4" fillId="0" borderId="0" xfId="2" applyFont="1" applyAlignment="1">
      <alignment vertical="center" wrapText="1"/>
    </xf>
    <xf numFmtId="0" fontId="5" fillId="0" borderId="19" xfId="2" applyFont="1" applyBorder="1" applyAlignment="1">
      <alignment horizontal="center"/>
    </xf>
    <xf numFmtId="0" fontId="5" fillId="0" borderId="20" xfId="2" applyFont="1" applyBorder="1" applyAlignment="1">
      <alignment horizontal="center"/>
    </xf>
    <xf numFmtId="1" fontId="5" fillId="0" borderId="21" xfId="2" applyNumberFormat="1" applyFont="1" applyBorder="1" applyAlignment="1">
      <alignment horizontal="center"/>
    </xf>
    <xf numFmtId="169" fontId="4" fillId="0" borderId="1" xfId="3" applyNumberFormat="1" applyFont="1" applyFill="1" applyBorder="1"/>
    <xf numFmtId="3" fontId="4" fillId="0" borderId="1" xfId="3" applyNumberFormat="1" applyFont="1" applyFill="1" applyBorder="1"/>
    <xf numFmtId="49" fontId="5" fillId="0" borderId="13" xfId="2" applyNumberFormat="1" applyFont="1" applyBorder="1" applyAlignment="1">
      <alignment horizontal="center"/>
    </xf>
    <xf numFmtId="3" fontId="4" fillId="0" borderId="16" xfId="3" applyNumberFormat="1" applyFont="1" applyFill="1" applyBorder="1"/>
    <xf numFmtId="3" fontId="4" fillId="0" borderId="23" xfId="3" applyNumberFormat="1" applyFont="1" applyFill="1" applyBorder="1"/>
    <xf numFmtId="170" fontId="5" fillId="0" borderId="0" xfId="3" applyNumberFormat="1" applyFont="1" applyFill="1"/>
    <xf numFmtId="3" fontId="6" fillId="0" borderId="23" xfId="3" applyNumberFormat="1" applyFont="1" applyFill="1" applyBorder="1"/>
    <xf numFmtId="3" fontId="5" fillId="0" borderId="23" xfId="3" applyNumberFormat="1" applyFont="1" applyFill="1" applyBorder="1"/>
    <xf numFmtId="170" fontId="4" fillId="0" borderId="0" xfId="3" applyNumberFormat="1" applyFont="1" applyFill="1" applyAlignment="1">
      <alignment horizontal="center"/>
    </xf>
    <xf numFmtId="3" fontId="4" fillId="0" borderId="0" xfId="2" applyNumberFormat="1" applyFont="1"/>
    <xf numFmtId="0" fontId="4" fillId="0" borderId="7" xfId="2" applyFont="1" applyBorder="1" applyAlignment="1">
      <alignment horizontal="center" vertical="center" wrapText="1"/>
    </xf>
    <xf numFmtId="167" fontId="4" fillId="0" borderId="24" xfId="2" applyNumberFormat="1" applyFont="1" applyBorder="1" applyAlignment="1">
      <alignment horizontal="center" vertical="center" wrapText="1"/>
    </xf>
    <xf numFmtId="167" fontId="4" fillId="0" borderId="9" xfId="2" applyNumberFormat="1" applyFont="1" applyBorder="1" applyAlignment="1" applyProtection="1">
      <alignment horizontal="center"/>
      <protection locked="0"/>
    </xf>
    <xf numFmtId="0" fontId="4" fillId="0" borderId="9" xfId="2" applyFont="1" applyBorder="1" applyAlignment="1" applyProtection="1">
      <alignment horizontal="center"/>
      <protection locked="0"/>
    </xf>
    <xf numFmtId="0" fontId="4" fillId="0" borderId="9" xfId="2" applyFont="1" applyBorder="1" applyAlignment="1" applyProtection="1">
      <alignment horizontal="center" shrinkToFit="1"/>
      <protection locked="0"/>
    </xf>
    <xf numFmtId="3" fontId="4" fillId="0" borderId="9" xfId="3" applyNumberFormat="1" applyFont="1" applyFill="1" applyBorder="1" applyProtection="1">
      <protection locked="0"/>
    </xf>
    <xf numFmtId="167" fontId="4" fillId="0" borderId="13" xfId="2" applyNumberFormat="1" applyFont="1" applyBorder="1" applyAlignment="1" applyProtection="1">
      <alignment horizontal="center"/>
      <protection locked="0"/>
    </xf>
    <xf numFmtId="0" fontId="4" fillId="0" borderId="13" xfId="2" applyFont="1" applyBorder="1" applyAlignment="1" applyProtection="1">
      <alignment horizontal="center"/>
      <protection locked="0"/>
    </xf>
    <xf numFmtId="0" fontId="4" fillId="0" borderId="13" xfId="2" applyFont="1" applyBorder="1" applyAlignment="1" applyProtection="1">
      <alignment horizontal="center" shrinkToFit="1"/>
      <protection locked="0"/>
    </xf>
    <xf numFmtId="3" fontId="4" fillId="0" borderId="13" xfId="3" applyNumberFormat="1" applyFont="1" applyFill="1" applyBorder="1" applyProtection="1">
      <protection locked="0"/>
    </xf>
    <xf numFmtId="167" fontId="4" fillId="0" borderId="22" xfId="2" applyNumberFormat="1" applyFont="1" applyBorder="1" applyAlignment="1" applyProtection="1">
      <alignment horizontal="center"/>
      <protection locked="0"/>
    </xf>
    <xf numFmtId="0" fontId="4" fillId="0" borderId="22" xfId="2" applyFont="1" applyBorder="1" applyAlignment="1" applyProtection="1">
      <alignment horizontal="center"/>
      <protection locked="0"/>
    </xf>
    <xf numFmtId="0" fontId="4" fillId="0" borderId="22" xfId="2" applyFont="1" applyBorder="1" applyAlignment="1" applyProtection="1">
      <alignment horizontal="center" shrinkToFit="1"/>
      <protection locked="0"/>
    </xf>
    <xf numFmtId="3" fontId="4" fillId="0" borderId="22" xfId="3" applyNumberFormat="1" applyFont="1" applyFill="1" applyBorder="1" applyProtection="1">
      <protection locked="0"/>
    </xf>
    <xf numFmtId="3" fontId="5" fillId="2" borderId="23" xfId="3" applyNumberFormat="1" applyFont="1" applyFill="1" applyBorder="1" applyProtection="1">
      <protection locked="0"/>
    </xf>
    <xf numFmtId="3" fontId="4" fillId="2" borderId="1" xfId="4" applyNumberFormat="1" applyFont="1" applyFill="1" applyBorder="1" applyAlignment="1" applyProtection="1">
      <alignment horizontal="center"/>
      <protection locked="0"/>
    </xf>
    <xf numFmtId="49" fontId="4" fillId="2" borderId="23" xfId="2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2" applyFont="1" applyBorder="1"/>
    <xf numFmtId="3" fontId="4" fillId="2" borderId="1" xfId="2" applyNumberFormat="1" applyFont="1" applyFill="1" applyBorder="1" applyProtection="1">
      <protection locked="0"/>
    </xf>
    <xf numFmtId="3" fontId="4" fillId="0" borderId="1" xfId="2" applyNumberFormat="1" applyFont="1" applyBorder="1"/>
    <xf numFmtId="167" fontId="4" fillId="2" borderId="1" xfId="2" applyNumberFormat="1" applyFont="1" applyFill="1" applyBorder="1" applyProtection="1">
      <protection locked="0"/>
    </xf>
    <xf numFmtId="0" fontId="2" fillId="2" borderId="1" xfId="1" applyFont="1" applyFill="1" applyBorder="1"/>
    <xf numFmtId="0" fontId="2" fillId="0" borderId="0" xfId="5" applyFont="1"/>
    <xf numFmtId="0" fontId="2" fillId="0" borderId="0" xfId="5" applyFont="1" applyAlignment="1">
      <alignment horizontal="right"/>
    </xf>
    <xf numFmtId="0" fontId="2" fillId="2" borderId="1" xfId="5" applyFont="1" applyFill="1" applyBorder="1"/>
    <xf numFmtId="0" fontId="2" fillId="0" borderId="1" xfId="5" applyFont="1" applyBorder="1"/>
    <xf numFmtId="0" fontId="8" fillId="0" borderId="1" xfId="5" applyFont="1" applyBorder="1" applyAlignment="1">
      <alignment vertical="center"/>
    </xf>
    <xf numFmtId="0" fontId="8" fillId="4" borderId="1" xfId="1" applyFont="1" applyFill="1" applyBorder="1" applyAlignment="1">
      <alignment horizontal="center" vertical="center" wrapText="1"/>
    </xf>
    <xf numFmtId="0" fontId="8" fillId="2" borderId="1" xfId="5" applyFont="1" applyFill="1" applyBorder="1" applyAlignment="1">
      <alignment horizontal="right"/>
    </xf>
    <xf numFmtId="49" fontId="2" fillId="2" borderId="2" xfId="1" applyNumberFormat="1" applyFont="1" applyFill="1" applyBorder="1" applyAlignment="1">
      <alignment horizontal="left"/>
    </xf>
    <xf numFmtId="49" fontId="2" fillId="2" borderId="4" xfId="1" applyNumberFormat="1" applyFont="1" applyFill="1" applyBorder="1" applyAlignment="1">
      <alignment horizontal="left"/>
    </xf>
    <xf numFmtId="0" fontId="9" fillId="0" borderId="1" xfId="0" applyFont="1" applyBorder="1"/>
    <xf numFmtId="14" fontId="9" fillId="0" borderId="1" xfId="0" applyNumberFormat="1" applyFont="1" applyBorder="1"/>
    <xf numFmtId="0" fontId="9" fillId="0" borderId="0" xfId="0" applyFont="1"/>
    <xf numFmtId="14" fontId="9" fillId="0" borderId="0" xfId="0" applyNumberFormat="1" applyFont="1"/>
    <xf numFmtId="0" fontId="0" fillId="5" borderId="26" xfId="0" applyFill="1" applyBorder="1"/>
    <xf numFmtId="0" fontId="0" fillId="5" borderId="5" xfId="0" applyFill="1" applyBorder="1"/>
    <xf numFmtId="0" fontId="0" fillId="5" borderId="27" xfId="0" applyFill="1" applyBorder="1"/>
    <xf numFmtId="0" fontId="0" fillId="5" borderId="28" xfId="0" applyFill="1" applyBorder="1"/>
    <xf numFmtId="0" fontId="0" fillId="6" borderId="1" xfId="0" applyFill="1" applyBorder="1" applyProtection="1">
      <protection locked="0"/>
    </xf>
    <xf numFmtId="0" fontId="0" fillId="5" borderId="0" xfId="0" applyFill="1"/>
    <xf numFmtId="49" fontId="0" fillId="6" borderId="1" xfId="0" applyNumberFormat="1" applyFill="1" applyBorder="1" applyProtection="1">
      <protection locked="0"/>
    </xf>
    <xf numFmtId="0" fontId="0" fillId="5" borderId="25" xfId="0" applyFill="1" applyBorder="1"/>
    <xf numFmtId="3" fontId="0" fillId="5" borderId="0" xfId="0" applyNumberFormat="1" applyFill="1"/>
    <xf numFmtId="0" fontId="10" fillId="5" borderId="0" xfId="0" applyFont="1" applyFill="1"/>
    <xf numFmtId="14" fontId="0" fillId="6" borderId="1" xfId="0" applyNumberFormat="1" applyFill="1" applyBorder="1" applyAlignment="1" applyProtection="1">
      <alignment horizontal="left"/>
      <protection locked="0"/>
    </xf>
    <xf numFmtId="0" fontId="0" fillId="5" borderId="29" xfId="0" applyFill="1" applyBorder="1"/>
    <xf numFmtId="0" fontId="0" fillId="5" borderId="32" xfId="0" applyFill="1" applyBorder="1"/>
    <xf numFmtId="0" fontId="10" fillId="5" borderId="32" xfId="0" applyFont="1" applyFill="1" applyBorder="1"/>
    <xf numFmtId="0" fontId="10" fillId="5" borderId="31" xfId="0" applyFont="1" applyFill="1" applyBorder="1"/>
    <xf numFmtId="3" fontId="13" fillId="4" borderId="1" xfId="0" applyNumberFormat="1" applyFont="1" applyFill="1" applyBorder="1" applyAlignment="1">
      <alignment vertical="center"/>
    </xf>
    <xf numFmtId="3" fontId="13" fillId="0" borderId="1" xfId="0" applyNumberFormat="1" applyFont="1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1" xfId="0" applyFont="1" applyBorder="1"/>
    <xf numFmtId="0" fontId="0" fillId="3" borderId="0" xfId="0" applyFill="1"/>
    <xf numFmtId="0" fontId="0" fillId="0" borderId="33" xfId="0" applyBorder="1" applyAlignment="1">
      <alignment horizontal="left"/>
    </xf>
    <xf numFmtId="0" fontId="14" fillId="0" borderId="24" xfId="0" applyFont="1" applyBorder="1" applyAlignment="1">
      <alignment horizontal="center"/>
    </xf>
    <xf numFmtId="0" fontId="0" fillId="0" borderId="29" xfId="0" applyBorder="1" applyAlignment="1">
      <alignment horizontal="left"/>
    </xf>
    <xf numFmtId="0" fontId="15" fillId="0" borderId="24" xfId="0" applyFont="1" applyBorder="1" applyAlignment="1">
      <alignment horizontal="center" wrapText="1"/>
    </xf>
    <xf numFmtId="3" fontId="0" fillId="0" borderId="1" xfId="0" applyNumberFormat="1" applyBorder="1"/>
    <xf numFmtId="14" fontId="0" fillId="0" borderId="1" xfId="0" applyNumberFormat="1" applyBorder="1"/>
    <xf numFmtId="0" fontId="0" fillId="0" borderId="29" xfId="0" applyBorder="1"/>
    <xf numFmtId="0" fontId="0" fillId="0" borderId="1" xfId="0" applyBorder="1"/>
    <xf numFmtId="0" fontId="0" fillId="4" borderId="1" xfId="0" applyFill="1" applyBorder="1"/>
    <xf numFmtId="0" fontId="11" fillId="0" borderId="0" xfId="0" applyFont="1"/>
    <xf numFmtId="0" fontId="16" fillId="0" borderId="0" xfId="0" applyFont="1" applyAlignment="1">
      <alignment horizontal="left" vertical="center" wrapText="1"/>
    </xf>
    <xf numFmtId="4" fontId="16" fillId="0" borderId="0" xfId="0" applyNumberFormat="1" applyFont="1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22" fontId="16" fillId="0" borderId="0" xfId="0" applyNumberFormat="1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4" fontId="17" fillId="0" borderId="0" xfId="0" applyNumberFormat="1" applyFont="1" applyAlignment="1">
      <alignment horizontal="right" vertical="center" wrapText="1"/>
    </xf>
    <xf numFmtId="0" fontId="17" fillId="0" borderId="0" xfId="0" applyFont="1" applyAlignment="1">
      <alignment horizontal="right" vertical="center" wrapText="1"/>
    </xf>
    <xf numFmtId="22" fontId="17" fillId="0" borderId="0" xfId="0" applyNumberFormat="1" applyFont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9" fontId="0" fillId="0" borderId="1" xfId="0" applyNumberFormat="1" applyBorder="1"/>
    <xf numFmtId="0" fontId="0" fillId="0" borderId="1" xfId="0" applyBorder="1" applyAlignment="1">
      <alignment horizontal="center"/>
    </xf>
    <xf numFmtId="2" fontId="0" fillId="0" borderId="1" xfId="0" applyNumberFormat="1" applyBorder="1"/>
    <xf numFmtId="1" fontId="0" fillId="0" borderId="1" xfId="0" applyNumberFormat="1" applyBorder="1"/>
    <xf numFmtId="0" fontId="0" fillId="8" borderId="1" xfId="0" applyFill="1" applyBorder="1" applyAlignment="1">
      <alignment horizontal="center"/>
    </xf>
    <xf numFmtId="10" fontId="0" fillId="8" borderId="1" xfId="0" applyNumberFormat="1" applyFill="1" applyBorder="1"/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center" wrapText="1"/>
    </xf>
    <xf numFmtId="0" fontId="0" fillId="7" borderId="1" xfId="0" applyFill="1" applyBorder="1"/>
    <xf numFmtId="0" fontId="0" fillId="7" borderId="1" xfId="0" applyFill="1" applyBorder="1" applyAlignment="1">
      <alignment wrapText="1"/>
    </xf>
    <xf numFmtId="49" fontId="2" fillId="2" borderId="3" xfId="1" applyNumberFormat="1" applyFont="1" applyFill="1" applyBorder="1" applyAlignment="1">
      <alignment horizontal="left"/>
    </xf>
    <xf numFmtId="0" fontId="2" fillId="0" borderId="2" xfId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2" fillId="0" borderId="0" xfId="1" applyFont="1" applyAlignment="1">
      <alignment horizontal="left"/>
    </xf>
    <xf numFmtId="0" fontId="2" fillId="0" borderId="0" xfId="1" applyFont="1" applyAlignment="1">
      <alignment horizontal="center"/>
    </xf>
    <xf numFmtId="1" fontId="2" fillId="2" borderId="2" xfId="1" applyNumberFormat="1" applyFont="1" applyFill="1" applyBorder="1" applyAlignment="1">
      <alignment horizontal="left"/>
    </xf>
    <xf numFmtId="1" fontId="2" fillId="2" borderId="4" xfId="1" applyNumberFormat="1" applyFont="1" applyFill="1" applyBorder="1" applyAlignment="1">
      <alignment horizontal="left"/>
    </xf>
    <xf numFmtId="0" fontId="2" fillId="0" borderId="5" xfId="1" applyFont="1" applyBorder="1" applyAlignment="1">
      <alignment horizontal="left"/>
    </xf>
    <xf numFmtId="0" fontId="20" fillId="0" borderId="1" xfId="0" applyFont="1" applyBorder="1"/>
    <xf numFmtId="0" fontId="0" fillId="9" borderId="0" xfId="0" applyFill="1"/>
    <xf numFmtId="0" fontId="11" fillId="9" borderId="0" xfId="0" applyFont="1" applyFill="1" applyAlignment="1">
      <alignment horizontal="right"/>
    </xf>
    <xf numFmtId="0" fontId="13" fillId="9" borderId="0" xfId="0" applyFont="1" applyFill="1"/>
    <xf numFmtId="0" fontId="0" fillId="9" borderId="31" xfId="0" applyFill="1" applyBorder="1"/>
    <xf numFmtId="0" fontId="13" fillId="9" borderId="0" xfId="0" applyFont="1" applyFill="1" applyAlignment="1">
      <alignment horizontal="center"/>
    </xf>
    <xf numFmtId="0" fontId="0" fillId="9" borderId="28" xfId="0" applyFill="1" applyBorder="1"/>
    <xf numFmtId="0" fontId="0" fillId="9" borderId="25" xfId="0" applyFill="1" applyBorder="1"/>
    <xf numFmtId="0" fontId="0" fillId="9" borderId="5" xfId="0" applyFill="1" applyBorder="1"/>
    <xf numFmtId="0" fontId="0" fillId="9" borderId="3" xfId="0" applyFill="1" applyBorder="1"/>
    <xf numFmtId="0" fontId="0" fillId="9" borderId="32" xfId="0" applyFill="1" applyBorder="1"/>
    <xf numFmtId="14" fontId="0" fillId="2" borderId="1" xfId="0" applyNumberFormat="1" applyFill="1" applyBorder="1" applyAlignment="1" applyProtection="1">
      <alignment horizontal="left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9" borderId="0" xfId="0" applyFill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27" xfId="0" applyFill="1" applyBorder="1"/>
    <xf numFmtId="0" fontId="0" fillId="9" borderId="26" xfId="0" applyFill="1" applyBorder="1"/>
    <xf numFmtId="0" fontId="0" fillId="9" borderId="0" xfId="0" applyFill="1" applyAlignment="1">
      <alignment horizontal="right"/>
    </xf>
    <xf numFmtId="0" fontId="0" fillId="9" borderId="5" xfId="0" applyFill="1" applyBorder="1" applyAlignment="1">
      <alignment horizontal="center"/>
    </xf>
    <xf numFmtId="49" fontId="0" fillId="9" borderId="25" xfId="0" applyNumberFormat="1" applyFill="1" applyBorder="1"/>
    <xf numFmtId="49" fontId="0" fillId="9" borderId="0" xfId="0" applyNumberFormat="1" applyFill="1"/>
    <xf numFmtId="0" fontId="0" fillId="2" borderId="1" xfId="0" applyFill="1" applyBorder="1" applyProtection="1">
      <protection locked="0"/>
    </xf>
    <xf numFmtId="0" fontId="21" fillId="9" borderId="28" xfId="0" applyFont="1" applyFill="1" applyBorder="1"/>
    <xf numFmtId="0" fontId="21" fillId="9" borderId="0" xfId="0" applyFont="1" applyFill="1"/>
    <xf numFmtId="0" fontId="0" fillId="9" borderId="1" xfId="0" applyFill="1" applyBorder="1"/>
    <xf numFmtId="49" fontId="13" fillId="9" borderId="25" xfId="0" applyNumberFormat="1" applyFont="1" applyFill="1" applyBorder="1"/>
    <xf numFmtId="49" fontId="13" fillId="9" borderId="0" xfId="0" applyNumberFormat="1" applyFont="1" applyFill="1"/>
    <xf numFmtId="0" fontId="13" fillId="9" borderId="1" xfId="0" applyFont="1" applyFill="1" applyBorder="1"/>
    <xf numFmtId="0" fontId="0" fillId="9" borderId="0" xfId="0" quotePrefix="1" applyFill="1"/>
    <xf numFmtId="49" fontId="0" fillId="9" borderId="27" xfId="0" applyNumberFormat="1" applyFill="1" applyBorder="1"/>
    <xf numFmtId="49" fontId="0" fillId="9" borderId="5" xfId="0" applyNumberFormat="1" applyFill="1" applyBorder="1"/>
    <xf numFmtId="49" fontId="0" fillId="9" borderId="31" xfId="0" applyNumberFormat="1" applyFill="1" applyBorder="1"/>
    <xf numFmtId="0" fontId="13" fillId="0" borderId="1" xfId="0" applyFont="1" applyBorder="1"/>
    <xf numFmtId="0" fontId="0" fillId="9" borderId="5" xfId="0" quotePrefix="1" applyFill="1" applyBorder="1"/>
    <xf numFmtId="49" fontId="0" fillId="0" borderId="0" xfId="0" applyNumberFormat="1"/>
    <xf numFmtId="0" fontId="0" fillId="2" borderId="1" xfId="0" quotePrefix="1" applyFill="1" applyBorder="1" applyAlignment="1" applyProtection="1">
      <alignment horizontal="left"/>
      <protection locked="0"/>
    </xf>
    <xf numFmtId="2" fontId="17" fillId="0" borderId="0" xfId="0" applyNumberFormat="1" applyFont="1" applyAlignment="1">
      <alignment horizontal="left" vertical="center" wrapText="1"/>
    </xf>
    <xf numFmtId="2" fontId="0" fillId="0" borderId="0" xfId="0" applyNumberFormat="1"/>
    <xf numFmtId="1" fontId="17" fillId="0" borderId="0" xfId="0" applyNumberFormat="1" applyFont="1" applyAlignment="1">
      <alignment horizontal="left" vertical="center" wrapText="1"/>
    </xf>
    <xf numFmtId="1" fontId="0" fillId="0" borderId="0" xfId="0" applyNumberFormat="1"/>
    <xf numFmtId="14" fontId="0" fillId="0" borderId="0" xfId="0" applyNumberFormat="1"/>
    <xf numFmtId="9" fontId="0" fillId="0" borderId="1" xfId="6" applyFont="1" applyBorder="1" applyAlignment="1">
      <alignment horizontal="center" vertical="center"/>
    </xf>
    <xf numFmtId="3" fontId="0" fillId="0" borderId="0" xfId="0" applyNumberFormat="1"/>
    <xf numFmtId="0" fontId="13" fillId="3" borderId="1" xfId="0" applyFont="1" applyFill="1" applyBorder="1"/>
    <xf numFmtId="0" fontId="0" fillId="9" borderId="0" xfId="0" applyFill="1" applyProtection="1">
      <protection locked="0"/>
    </xf>
    <xf numFmtId="9" fontId="0" fillId="0" borderId="0" xfId="0" applyNumberFormat="1"/>
    <xf numFmtId="0" fontId="0" fillId="8" borderId="0" xfId="0" applyFill="1"/>
    <xf numFmtId="10" fontId="0" fillId="0" borderId="1" xfId="0" applyNumberFormat="1" applyBorder="1"/>
    <xf numFmtId="0" fontId="0" fillId="2" borderId="1" xfId="0" quotePrefix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0" fontId="24" fillId="0" borderId="0" xfId="7" applyFont="1" applyAlignment="1">
      <alignment horizontal="center"/>
    </xf>
    <xf numFmtId="0" fontId="23" fillId="0" borderId="0" xfId="7"/>
    <xf numFmtId="0" fontId="24" fillId="0" borderId="0" xfId="7" applyFont="1"/>
    <xf numFmtId="3" fontId="23" fillId="0" borderId="0" xfId="7" applyNumberFormat="1"/>
    <xf numFmtId="3" fontId="24" fillId="0" borderId="0" xfId="7" applyNumberFormat="1" applyFont="1"/>
    <xf numFmtId="0" fontId="0" fillId="9" borderId="5" xfId="0" applyFill="1" applyBorder="1" applyProtection="1">
      <protection locked="0"/>
    </xf>
    <xf numFmtId="0" fontId="0" fillId="9" borderId="3" xfId="0" applyFill="1" applyBorder="1" applyProtection="1">
      <protection locked="0"/>
    </xf>
    <xf numFmtId="0" fontId="0" fillId="9" borderId="0" xfId="0" applyFill="1" applyAlignment="1">
      <alignment wrapText="1"/>
    </xf>
    <xf numFmtId="3" fontId="0" fillId="9" borderId="0" xfId="0" applyNumberFormat="1" applyFill="1"/>
    <xf numFmtId="3" fontId="13" fillId="9" borderId="0" xfId="0" applyNumberFormat="1" applyFont="1" applyFill="1"/>
    <xf numFmtId="49" fontId="0" fillId="9" borderId="32" xfId="0" applyNumberFormat="1" applyFill="1" applyBorder="1"/>
    <xf numFmtId="0" fontId="0" fillId="9" borderId="30" xfId="0" applyFill="1" applyBorder="1"/>
    <xf numFmtId="0" fontId="13" fillId="9" borderId="5" xfId="0" applyFont="1" applyFill="1" applyBorder="1"/>
    <xf numFmtId="0" fontId="21" fillId="9" borderId="26" xfId="0" applyFont="1" applyFill="1" applyBorder="1"/>
    <xf numFmtId="0" fontId="0" fillId="3" borderId="1" xfId="0" applyFill="1" applyBorder="1"/>
    <xf numFmtId="0" fontId="16" fillId="0" borderId="1" xfId="0" applyFont="1" applyBorder="1"/>
    <xf numFmtId="0" fontId="11" fillId="9" borderId="0" xfId="0" applyFont="1" applyFill="1" applyAlignment="1">
      <alignment horizontal="right"/>
    </xf>
    <xf numFmtId="0" fontId="11" fillId="9" borderId="0" xfId="0" applyFont="1" applyFill="1" applyAlignment="1">
      <alignment horizontal="left"/>
    </xf>
    <xf numFmtId="0" fontId="13" fillId="10" borderId="1" xfId="0" applyFont="1" applyFill="1" applyBorder="1" applyAlignment="1">
      <alignment horizontal="center"/>
    </xf>
    <xf numFmtId="0" fontId="0" fillId="2" borderId="1" xfId="0" applyFill="1" applyBorder="1" applyAlignment="1" applyProtection="1">
      <alignment horizontal="left"/>
      <protection locked="0"/>
    </xf>
    <xf numFmtId="14" fontId="0" fillId="2" borderId="1" xfId="0" applyNumberFormat="1" applyFill="1" applyBorder="1" applyAlignment="1" applyProtection="1">
      <alignment horizontal="left"/>
      <protection locked="0"/>
    </xf>
    <xf numFmtId="49" fontId="0" fillId="9" borderId="0" xfId="0" applyNumberFormat="1" applyFill="1"/>
    <xf numFmtId="49" fontId="0" fillId="9" borderId="28" xfId="0" applyNumberFormat="1" applyFill="1" applyBorder="1"/>
    <xf numFmtId="3" fontId="0" fillId="2" borderId="1" xfId="0" applyNumberFormat="1" applyFill="1" applyBorder="1" applyProtection="1">
      <protection locked="0"/>
    </xf>
    <xf numFmtId="0" fontId="0" fillId="2" borderId="2" xfId="0" applyFill="1" applyBorder="1" applyAlignment="1" applyProtection="1">
      <alignment horizontal="left"/>
      <protection locked="0"/>
    </xf>
    <xf numFmtId="0" fontId="0" fillId="2" borderId="3" xfId="0" applyFill="1" applyBorder="1" applyAlignment="1" applyProtection="1">
      <alignment horizontal="left"/>
      <protection locked="0"/>
    </xf>
    <xf numFmtId="0" fontId="0" fillId="2" borderId="4" xfId="0" applyFill="1" applyBorder="1" applyAlignment="1" applyProtection="1">
      <alignment horizontal="left"/>
      <protection locked="0"/>
    </xf>
    <xf numFmtId="0" fontId="0" fillId="9" borderId="0" xfId="0" applyFill="1" applyAlignment="1">
      <alignment wrapText="1"/>
    </xf>
    <xf numFmtId="0" fontId="0" fillId="9" borderId="28" xfId="0" applyFill="1" applyBorder="1" applyAlignment="1">
      <alignment wrapText="1"/>
    </xf>
    <xf numFmtId="3" fontId="0" fillId="3" borderId="1" xfId="0" applyNumberFormat="1" applyFill="1" applyBorder="1"/>
    <xf numFmtId="3" fontId="0" fillId="2" borderId="2" xfId="0" applyNumberFormat="1" applyFill="1" applyBorder="1" applyProtection="1">
      <protection locked="0"/>
    </xf>
    <xf numFmtId="3" fontId="0" fillId="2" borderId="3" xfId="0" applyNumberFormat="1" applyFill="1" applyBorder="1" applyProtection="1">
      <protection locked="0"/>
    </xf>
    <xf numFmtId="3" fontId="0" fillId="2" borderId="4" xfId="0" applyNumberFormat="1" applyFill="1" applyBorder="1" applyProtection="1">
      <protection locked="0"/>
    </xf>
    <xf numFmtId="49" fontId="0" fillId="9" borderId="0" xfId="0" applyNumberFormat="1" applyFill="1" applyAlignment="1">
      <alignment wrapText="1"/>
    </xf>
    <xf numFmtId="0" fontId="0" fillId="2" borderId="2" xfId="0" applyFill="1" applyBorder="1" applyProtection="1">
      <protection locked="0"/>
    </xf>
    <xf numFmtId="0" fontId="0" fillId="2" borderId="3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2" borderId="1" xfId="0" applyFill="1" applyBorder="1" applyProtection="1">
      <protection locked="0"/>
    </xf>
    <xf numFmtId="49" fontId="0" fillId="2" borderId="2" xfId="0" applyNumberFormat="1" applyFill="1" applyBorder="1" applyProtection="1">
      <protection locked="0"/>
    </xf>
    <xf numFmtId="49" fontId="0" fillId="2" borderId="4" xfId="0" applyNumberFormat="1" applyFill="1" applyBorder="1" applyProtection="1">
      <protection locked="0"/>
    </xf>
    <xf numFmtId="0" fontId="0" fillId="2" borderId="1" xfId="0" applyFill="1" applyBorder="1" applyAlignment="1" applyProtection="1">
      <alignment horizontal="center"/>
      <protection locked="0"/>
    </xf>
    <xf numFmtId="49" fontId="0" fillId="9" borderId="32" xfId="0" applyNumberFormat="1" applyFill="1" applyBorder="1" applyAlignment="1">
      <alignment horizontal="center"/>
    </xf>
    <xf numFmtId="0" fontId="0" fillId="9" borderId="32" xfId="0" applyFill="1" applyBorder="1" applyAlignment="1">
      <alignment horizontal="center" wrapText="1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3" fontId="0" fillId="3" borderId="2" xfId="0" applyNumberFormat="1" applyFill="1" applyBorder="1"/>
    <xf numFmtId="3" fontId="0" fillId="3" borderId="3" xfId="0" applyNumberFormat="1" applyFill="1" applyBorder="1"/>
    <xf numFmtId="3" fontId="0" fillId="3" borderId="4" xfId="0" applyNumberFormat="1" applyFill="1" applyBorder="1"/>
    <xf numFmtId="0" fontId="0" fillId="3" borderId="1" xfId="0" applyFill="1" applyBorder="1" applyAlignment="1">
      <alignment horizontal="center"/>
    </xf>
    <xf numFmtId="0" fontId="13" fillId="10" borderId="1" xfId="0" applyFont="1" applyFill="1" applyBorder="1" applyAlignment="1">
      <alignment horizontal="center" wrapText="1"/>
    </xf>
    <xf numFmtId="49" fontId="2" fillId="2" borderId="2" xfId="1" applyNumberFormat="1" applyFont="1" applyFill="1" applyBorder="1" applyAlignment="1">
      <alignment horizontal="left"/>
    </xf>
    <xf numFmtId="49" fontId="2" fillId="2" borderId="3" xfId="1" applyNumberFormat="1" applyFont="1" applyFill="1" applyBorder="1" applyAlignment="1">
      <alignment horizontal="left"/>
    </xf>
    <xf numFmtId="49" fontId="2" fillId="2" borderId="4" xfId="1" applyNumberFormat="1" applyFont="1" applyFill="1" applyBorder="1" applyAlignment="1">
      <alignment horizontal="left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1" fontId="2" fillId="2" borderId="2" xfId="1" applyNumberFormat="1" applyFont="1" applyFill="1" applyBorder="1" applyAlignment="1">
      <alignment horizontal="left"/>
    </xf>
    <xf numFmtId="1" fontId="2" fillId="2" borderId="4" xfId="1" applyNumberFormat="1" applyFont="1" applyFill="1" applyBorder="1" applyAlignment="1">
      <alignment horizontal="left"/>
    </xf>
    <xf numFmtId="0" fontId="2" fillId="0" borderId="5" xfId="1" applyFont="1" applyBorder="1" applyAlignment="1">
      <alignment horizontal="left"/>
    </xf>
    <xf numFmtId="0" fontId="2" fillId="0" borderId="2" xfId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49" fontId="2" fillId="2" borderId="2" xfId="1" applyNumberFormat="1" applyFont="1" applyFill="1" applyBorder="1" applyAlignment="1">
      <alignment horizontal="left" wrapText="1"/>
    </xf>
    <xf numFmtId="1" fontId="2" fillId="2" borderId="2" xfId="1" applyNumberFormat="1" applyFont="1" applyFill="1" applyBorder="1" applyAlignment="1">
      <alignment horizontal="center"/>
    </xf>
    <xf numFmtId="1" fontId="2" fillId="2" borderId="4" xfId="1" applyNumberFormat="1" applyFont="1" applyFill="1" applyBorder="1" applyAlignment="1">
      <alignment horizontal="center"/>
    </xf>
    <xf numFmtId="0" fontId="6" fillId="0" borderId="6" xfId="2" applyFont="1" applyBorder="1" applyAlignment="1">
      <alignment horizontal="left"/>
    </xf>
    <xf numFmtId="0" fontId="6" fillId="0" borderId="8" xfId="2" applyFont="1" applyBorder="1" applyAlignment="1">
      <alignment horizontal="left"/>
    </xf>
    <xf numFmtId="0" fontId="5" fillId="0" borderId="6" xfId="2" applyFont="1" applyBorder="1" applyAlignment="1">
      <alignment horizontal="right"/>
    </xf>
    <xf numFmtId="0" fontId="5" fillId="0" borderId="7" xfId="2" applyFont="1" applyBorder="1" applyAlignment="1">
      <alignment horizontal="right"/>
    </xf>
    <xf numFmtId="0" fontId="5" fillId="0" borderId="8" xfId="2" applyFont="1" applyBorder="1" applyAlignment="1">
      <alignment horizontal="right"/>
    </xf>
    <xf numFmtId="0" fontId="5" fillId="0" borderId="6" xfId="2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/>
    </xf>
    <xf numFmtId="0" fontId="5" fillId="0" borderId="8" xfId="2" applyFont="1" applyBorder="1" applyAlignment="1">
      <alignment horizontal="center" vertical="center"/>
    </xf>
    <xf numFmtId="0" fontId="5" fillId="0" borderId="6" xfId="2" applyFont="1" applyBorder="1" applyAlignment="1">
      <alignment horizontal="center"/>
    </xf>
    <xf numFmtId="0" fontId="5" fillId="0" borderId="7" xfId="2" applyFont="1" applyBorder="1" applyAlignment="1">
      <alignment horizontal="center"/>
    </xf>
    <xf numFmtId="0" fontId="5" fillId="0" borderId="8" xfId="2" applyFont="1" applyBorder="1" applyAlignment="1">
      <alignment horizontal="center"/>
    </xf>
    <xf numFmtId="0" fontId="4" fillId="2" borderId="1" xfId="2" applyFont="1" applyFill="1" applyBorder="1" applyAlignment="1" applyProtection="1">
      <alignment horizontal="center"/>
      <protection locked="0"/>
    </xf>
    <xf numFmtId="0" fontId="4" fillId="3" borderId="6" xfId="2" applyFont="1" applyFill="1" applyBorder="1" applyAlignment="1">
      <alignment horizontal="left" vertical="center" wrapText="1"/>
    </xf>
    <xf numFmtId="0" fontId="4" fillId="3" borderId="7" xfId="2" applyFont="1" applyFill="1" applyBorder="1" applyAlignment="1">
      <alignment horizontal="left" vertical="center" wrapText="1"/>
    </xf>
    <xf numFmtId="0" fontId="4" fillId="2" borderId="6" xfId="2" applyFont="1" applyFill="1" applyBorder="1" applyAlignment="1" applyProtection="1">
      <alignment horizontal="center" vertical="center" wrapText="1"/>
      <protection locked="0"/>
    </xf>
    <xf numFmtId="0" fontId="4" fillId="2" borderId="8" xfId="2" applyFont="1" applyFill="1" applyBorder="1" applyAlignment="1" applyProtection="1">
      <alignment horizontal="center" vertical="center" wrapText="1"/>
      <protection locked="0"/>
    </xf>
    <xf numFmtId="0" fontId="5" fillId="0" borderId="9" xfId="2" applyFont="1" applyBorder="1" applyAlignment="1">
      <alignment horizontal="center" vertical="center" wrapText="1"/>
    </xf>
    <xf numFmtId="0" fontId="5" fillId="0" borderId="13" xfId="2" applyFont="1" applyBorder="1" applyAlignment="1">
      <alignment horizontal="center" vertical="center" wrapText="1"/>
    </xf>
    <xf numFmtId="0" fontId="5" fillId="0" borderId="16" xfId="2" applyFont="1" applyBorder="1" applyAlignment="1">
      <alignment horizontal="center" vertical="center" wrapText="1"/>
    </xf>
    <xf numFmtId="0" fontId="5" fillId="0" borderId="10" xfId="2" applyFont="1" applyBorder="1" applyAlignment="1">
      <alignment horizontal="center" vertical="center" wrapText="1"/>
    </xf>
    <xf numFmtId="0" fontId="5" fillId="0" borderId="14" xfId="2" applyFont="1" applyBorder="1" applyAlignment="1">
      <alignment horizontal="center" vertical="center" wrapText="1"/>
    </xf>
    <xf numFmtId="0" fontId="5" fillId="0" borderId="17" xfId="2" applyFont="1" applyBorder="1" applyAlignment="1">
      <alignment horizontal="center" vertical="center" wrapText="1"/>
    </xf>
    <xf numFmtId="0" fontId="5" fillId="0" borderId="12" xfId="2" applyFont="1" applyBorder="1" applyAlignment="1">
      <alignment horizontal="center" vertical="center" wrapText="1"/>
    </xf>
    <xf numFmtId="0" fontId="5" fillId="0" borderId="15" xfId="2" applyFont="1" applyBorder="1" applyAlignment="1">
      <alignment horizontal="center" vertical="center" wrapText="1"/>
    </xf>
    <xf numFmtId="0" fontId="8" fillId="0" borderId="25" xfId="1" applyFont="1" applyBorder="1" applyAlignment="1">
      <alignment horizontal="center"/>
    </xf>
    <xf numFmtId="0" fontId="8" fillId="0" borderId="0" xfId="1" applyFont="1" applyAlignment="1">
      <alignment horizontal="center"/>
    </xf>
    <xf numFmtId="0" fontId="12" fillId="5" borderId="32" xfId="0" applyFont="1" applyFill="1" applyBorder="1" applyAlignment="1">
      <alignment horizontal="center" vertical="center"/>
    </xf>
    <xf numFmtId="0" fontId="12" fillId="5" borderId="30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5" borderId="28" xfId="0" applyFont="1" applyFill="1" applyBorder="1" applyAlignment="1">
      <alignment horizontal="center" vertical="center"/>
    </xf>
    <xf numFmtId="0" fontId="0" fillId="6" borderId="1" xfId="0" applyFill="1" applyBorder="1" applyAlignment="1" applyProtection="1">
      <alignment horizontal="left"/>
      <protection locked="0"/>
    </xf>
    <xf numFmtId="0" fontId="0" fillId="5" borderId="0" xfId="0" applyFill="1" applyAlignment="1">
      <alignment horizontal="left"/>
    </xf>
    <xf numFmtId="0" fontId="0" fillId="6" borderId="1" xfId="0" applyFill="1" applyBorder="1" applyAlignment="1" applyProtection="1">
      <alignment horizontal="center"/>
      <protection locked="0"/>
    </xf>
    <xf numFmtId="0" fontId="11" fillId="7" borderId="31" xfId="0" applyFont="1" applyFill="1" applyBorder="1" applyAlignment="1">
      <alignment horizontal="center" vertical="center"/>
    </xf>
    <xf numFmtId="0" fontId="11" fillId="7" borderId="30" xfId="0" applyFont="1" applyFill="1" applyBorder="1" applyAlignment="1">
      <alignment horizontal="center" vertical="center"/>
    </xf>
    <xf numFmtId="0" fontId="11" fillId="7" borderId="27" xfId="0" applyFont="1" applyFill="1" applyBorder="1" applyAlignment="1">
      <alignment horizontal="center" vertical="center"/>
    </xf>
    <xf numFmtId="0" fontId="11" fillId="7" borderId="26" xfId="0" applyFont="1" applyFill="1" applyBorder="1" applyAlignment="1">
      <alignment horizontal="center" vertical="center"/>
    </xf>
    <xf numFmtId="0" fontId="0" fillId="6" borderId="1" xfId="0" applyFill="1" applyBorder="1" applyAlignment="1" applyProtection="1">
      <alignment horizontal="center" wrapText="1"/>
      <protection locked="0"/>
    </xf>
    <xf numFmtId="0" fontId="13" fillId="0" borderId="5" xfId="0" applyFont="1" applyBorder="1" applyAlignment="1">
      <alignment horizontal="center"/>
    </xf>
    <xf numFmtId="0" fontId="15" fillId="0" borderId="31" xfId="0" applyFont="1" applyBorder="1" applyAlignment="1">
      <alignment horizontal="left" vertical="top"/>
    </xf>
    <xf numFmtId="0" fontId="15" fillId="0" borderId="32" xfId="0" applyFont="1" applyBorder="1" applyAlignment="1">
      <alignment horizontal="left" vertical="top"/>
    </xf>
    <xf numFmtId="0" fontId="15" fillId="0" borderId="30" xfId="0" applyFont="1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14" fillId="0" borderId="31" xfId="0" applyFont="1" applyBorder="1" applyAlignment="1">
      <alignment horizontal="center"/>
    </xf>
    <xf numFmtId="0" fontId="14" fillId="0" borderId="30" xfId="0" applyFont="1" applyBorder="1" applyAlignment="1">
      <alignment horizontal="center"/>
    </xf>
    <xf numFmtId="3" fontId="0" fillId="0" borderId="1" xfId="0" applyNumberFormat="1" applyBorder="1" applyAlignment="1">
      <alignment horizontal="left" vertical="center"/>
    </xf>
    <xf numFmtId="3" fontId="0" fillId="0" borderId="1" xfId="0" applyNumberFormat="1" applyBorder="1" applyAlignment="1">
      <alignment vertical="center"/>
    </xf>
    <xf numFmtId="3" fontId="13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9" fillId="7" borderId="1" xfId="0" applyFont="1" applyFill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0" fillId="7" borderId="0" xfId="0" applyFill="1" applyAlignment="1">
      <alignment horizontal="center"/>
    </xf>
    <xf numFmtId="0" fontId="0" fillId="7" borderId="28" xfId="0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0" fillId="9" borderId="0" xfId="0" applyFill="1" applyAlignment="1">
      <alignment horizontal="left" wrapText="1"/>
    </xf>
    <xf numFmtId="0" fontId="0" fillId="9" borderId="28" xfId="0" applyFill="1" applyBorder="1" applyAlignment="1">
      <alignment horizontal="left" wrapText="1"/>
    </xf>
    <xf numFmtId="14" fontId="0" fillId="2" borderId="2" xfId="0" applyNumberFormat="1" applyFill="1" applyBorder="1" applyAlignment="1" applyProtection="1">
      <alignment horizontal="left"/>
      <protection locked="0"/>
    </xf>
    <xf numFmtId="14" fontId="0" fillId="2" borderId="4" xfId="0" applyNumberFormat="1" applyFill="1" applyBorder="1" applyAlignment="1" applyProtection="1">
      <alignment horizontal="left"/>
      <protection locked="0"/>
    </xf>
    <xf numFmtId="0" fontId="0" fillId="9" borderId="0" xfId="0" applyFill="1" applyAlignment="1">
      <alignment horizontal="center"/>
    </xf>
    <xf numFmtId="0" fontId="11" fillId="9" borderId="0" xfId="0" applyFont="1" applyFill="1" applyAlignment="1">
      <alignment horizontal="center"/>
    </xf>
    <xf numFmtId="0" fontId="11" fillId="9" borderId="0" xfId="0" applyFont="1" applyFill="1" applyAlignment="1">
      <alignment horizontal="center" vertical="top"/>
    </xf>
    <xf numFmtId="49" fontId="13" fillId="9" borderId="0" xfId="0" applyNumberFormat="1" applyFont="1" applyFill="1" applyAlignment="1">
      <alignment horizontal="left"/>
    </xf>
    <xf numFmtId="14" fontId="0" fillId="2" borderId="2" xfId="0" applyNumberFormat="1" applyFill="1" applyBorder="1" applyProtection="1">
      <protection locked="0"/>
    </xf>
    <xf numFmtId="0" fontId="0" fillId="9" borderId="0" xfId="0" applyFill="1" applyAlignment="1">
      <alignment horizontal="left"/>
    </xf>
    <xf numFmtId="0" fontId="13" fillId="9" borderId="0" xfId="0" applyFont="1" applyFill="1" applyAlignment="1">
      <alignment horizontal="left"/>
    </xf>
    <xf numFmtId="0" fontId="24" fillId="0" borderId="0" xfId="7" applyFont="1" applyAlignment="1">
      <alignment horizontal="center"/>
    </xf>
    <xf numFmtId="14" fontId="0" fillId="2" borderId="4" xfId="0" applyNumberFormat="1" applyFill="1" applyBorder="1" applyProtection="1">
      <protection locked="0"/>
    </xf>
  </cellXfs>
  <cellStyles count="8">
    <cellStyle name="Ezres 2" xfId="4" xr:uid="{00000000-0005-0000-0000-000000000000}"/>
    <cellStyle name="Normal" xfId="0" builtinId="0"/>
    <cellStyle name="Normál 2" xfId="1" xr:uid="{00000000-0005-0000-0000-000002000000}"/>
    <cellStyle name="Normál 3" xfId="2" xr:uid="{00000000-0005-0000-0000-000003000000}"/>
    <cellStyle name="Normál 4" xfId="7" xr:uid="{BCB7D968-A75A-43C5-B544-3ABE5BEC37BF}"/>
    <cellStyle name="Normál_szigoru_szamadasu_nyomtatvany" xfId="5" xr:uid="{00000000-0005-0000-0000-000004000000}"/>
    <cellStyle name="Pénznem 2" xfId="3" xr:uid="{00000000-0005-0000-0000-000005000000}"/>
    <cellStyle name="Percent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gyebek\Corvinus\Oktatas\PU_SZV_INF_2\2018_II\Uj_gesemenyek_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gyebek\Corvinus\Oktatas\PU_SZV_INF_2\2019_II\Moodle\Uj_gesemenyek_1-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pló"/>
      <sheetName val="Biz"/>
      <sheetName val="FőkKiv"/>
      <sheetName val="Karton"/>
      <sheetName val="An"/>
      <sheetName val="KiSzla"/>
      <sheetName val="Param"/>
      <sheetName val="AFA_ET"/>
      <sheetName val="HIPA_ET"/>
      <sheetName val="TAO_ET"/>
      <sheetName val="EK_ET"/>
      <sheetName val="M_ET"/>
      <sheetName val="BÉR_11"/>
      <sheetName val="BÉR_12"/>
      <sheetName val="AFA_10"/>
      <sheetName val="AFA_11"/>
      <sheetName val="AFA_12"/>
      <sheetName val="HIPA_BEJ"/>
      <sheetName val="TAO_BEJ"/>
      <sheetName val="EK_BEJ"/>
      <sheetName val="Biz_old"/>
      <sheetName val="M_BEJ"/>
      <sheetName val="RelNapló"/>
      <sheetName val="BÉR"/>
      <sheetName val="PT_BE"/>
      <sheetName val="PT_KI"/>
      <sheetName val="AFA"/>
      <sheetName val="HIPA"/>
      <sheetName val="TAO"/>
      <sheetName val="M"/>
      <sheetName val="EK"/>
      <sheetName val="CF"/>
      <sheetName val="Bej_IPA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Prompt Integra Kft.</v>
          </cell>
        </row>
        <row r="4">
          <cell r="B4" t="str">
            <v>1058 Budapest, Fővám tér 8.</v>
          </cell>
        </row>
        <row r="5">
          <cell r="B5" t="str">
            <v>15151515-23232323-46464646</v>
          </cell>
        </row>
        <row r="6">
          <cell r="B6" t="str">
            <v>01-09-200100</v>
          </cell>
        </row>
        <row r="7">
          <cell r="B7" t="str">
            <v>12457899-2-42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g-tükör"/>
      <sheetName val="Napló"/>
      <sheetName val="Biz"/>
      <sheetName val="Karton"/>
      <sheetName val="An"/>
      <sheetName val="KiSzla"/>
      <sheetName val="Param"/>
      <sheetName val="előtárs zárás"/>
      <sheetName val="HIPA_ET"/>
      <sheetName val="TAO_ET"/>
      <sheetName val="EK_ET"/>
      <sheetName val="M_ET"/>
      <sheetName val="BÉR_11"/>
      <sheetName val="BÉR_12"/>
      <sheetName val="AFA_10hó_ET"/>
      <sheetName val="AFA_10hó"/>
      <sheetName val="AFA_11"/>
      <sheetName val="AFA_12"/>
      <sheetName val="HIPA_BEJ"/>
      <sheetName val="TAO_BEJ"/>
      <sheetName val="EK_BEJ"/>
      <sheetName val="Biz_old"/>
      <sheetName val="M_BEJ"/>
      <sheetName val="BÉR"/>
      <sheetName val="PT_BE"/>
      <sheetName val="PT_KI"/>
      <sheetName val="AFA"/>
      <sheetName val="HIPA"/>
      <sheetName val="TAO"/>
      <sheetName val="M"/>
      <sheetName val="EK"/>
      <sheetName val="CF"/>
      <sheetName val="Bej_IPA"/>
      <sheetName val="lev-napló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Prompt Integra Kft.</v>
          </cell>
        </row>
        <row r="4">
          <cell r="B4" t="str">
            <v>1058 Budapest, Fővám tér 8.</v>
          </cell>
        </row>
        <row r="5">
          <cell r="B5" t="str">
            <v>15151515-23232323-46464646</v>
          </cell>
        </row>
        <row r="6">
          <cell r="B6" t="str">
            <v>01-09-200100</v>
          </cell>
        </row>
        <row r="7">
          <cell r="B7" t="str">
            <v>12457899-2-42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1"/>
  <sheetViews>
    <sheetView topLeftCell="A14" workbookViewId="0">
      <selection activeCell="A32" sqref="A32:C32"/>
    </sheetView>
  </sheetViews>
  <sheetFormatPr defaultRowHeight="15" x14ac:dyDescent="0.25"/>
  <cols>
    <col min="1" max="2" width="19.5703125" customWidth="1"/>
    <col min="3" max="4" width="22.28515625" customWidth="1"/>
    <col min="5" max="5" width="19.140625" customWidth="1"/>
  </cols>
  <sheetData>
    <row r="1" spans="1:5" x14ac:dyDescent="0.25">
      <c r="A1" s="54" t="s">
        <v>126</v>
      </c>
      <c r="B1" s="239" t="s">
        <v>0</v>
      </c>
      <c r="C1" s="239"/>
      <c r="D1" s="1" t="s">
        <v>1</v>
      </c>
      <c r="E1" s="2" t="s">
        <v>125</v>
      </c>
    </row>
    <row r="2" spans="1:5" x14ac:dyDescent="0.25">
      <c r="A2" s="236" t="s">
        <v>158</v>
      </c>
      <c r="B2" s="237"/>
      <c r="C2" s="238"/>
      <c r="D2" s="240" t="s">
        <v>2</v>
      </c>
      <c r="E2" s="240"/>
    </row>
    <row r="3" spans="1:5" x14ac:dyDescent="0.25">
      <c r="A3" s="241">
        <v>400000</v>
      </c>
      <c r="B3" s="242"/>
      <c r="C3" s="3" t="s">
        <v>3</v>
      </c>
      <c r="D3" s="1" t="s">
        <v>4</v>
      </c>
      <c r="E3" s="4">
        <v>45933</v>
      </c>
    </row>
    <row r="4" spans="1:5" x14ac:dyDescent="0.25">
      <c r="A4" s="236" t="s">
        <v>160</v>
      </c>
      <c r="B4" s="237"/>
      <c r="C4" s="238"/>
      <c r="D4" s="243" t="s">
        <v>5</v>
      </c>
      <c r="E4" s="243"/>
    </row>
    <row r="5" spans="1:5" ht="25.5" x14ac:dyDescent="0.25">
      <c r="A5" s="5" t="s">
        <v>6</v>
      </c>
      <c r="B5" s="5" t="s">
        <v>7</v>
      </c>
      <c r="C5" s="244" t="s">
        <v>8</v>
      </c>
      <c r="D5" s="245"/>
      <c r="E5" s="6" t="s">
        <v>9</v>
      </c>
    </row>
    <row r="6" spans="1:5" x14ac:dyDescent="0.25">
      <c r="A6" s="2"/>
      <c r="B6" s="2"/>
      <c r="C6" s="236" t="s">
        <v>186</v>
      </c>
      <c r="D6" s="238"/>
      <c r="E6" s="7">
        <v>400000</v>
      </c>
    </row>
    <row r="7" spans="1:5" x14ac:dyDescent="0.25">
      <c r="A7" s="2"/>
      <c r="B7" s="2"/>
      <c r="C7" s="236"/>
      <c r="D7" s="238"/>
      <c r="E7" s="7"/>
    </row>
    <row r="8" spans="1:5" x14ac:dyDescent="0.25">
      <c r="A8" s="2"/>
      <c r="B8" s="2"/>
      <c r="C8" s="236"/>
      <c r="D8" s="238"/>
      <c r="E8" s="7"/>
    </row>
    <row r="9" spans="1:5" x14ac:dyDescent="0.25">
      <c r="A9" s="3" t="s">
        <v>10</v>
      </c>
      <c r="B9" s="3" t="s">
        <v>11</v>
      </c>
      <c r="C9" s="8"/>
      <c r="D9" s="9" t="s">
        <v>12</v>
      </c>
      <c r="E9" s="10">
        <f>SUM(E6:E7)</f>
        <v>400000</v>
      </c>
    </row>
    <row r="10" spans="1:5" x14ac:dyDescent="0.25">
      <c r="A10" s="2"/>
      <c r="B10" s="2"/>
      <c r="C10" s="3"/>
      <c r="D10" s="1" t="s">
        <v>13</v>
      </c>
      <c r="E10" s="2" t="s">
        <v>185</v>
      </c>
    </row>
    <row r="11" spans="1:5" x14ac:dyDescent="0.25">
      <c r="A11" s="3" t="s">
        <v>14</v>
      </c>
      <c r="B11" s="3" t="s">
        <v>15</v>
      </c>
      <c r="C11" s="240" t="s">
        <v>16</v>
      </c>
      <c r="D11" s="240"/>
      <c r="E11" s="240"/>
    </row>
    <row r="12" spans="1:5" x14ac:dyDescent="0.25">
      <c r="A12" s="2"/>
      <c r="B12" s="2" t="s">
        <v>117</v>
      </c>
      <c r="C12" s="236" t="s">
        <v>158</v>
      </c>
      <c r="D12" s="237"/>
      <c r="E12" s="238"/>
    </row>
    <row r="16" spans="1:5" x14ac:dyDescent="0.25">
      <c r="A16" s="54" t="s">
        <v>126</v>
      </c>
      <c r="B16" s="239" t="s">
        <v>0</v>
      </c>
      <c r="C16" s="239"/>
      <c r="D16" s="1" t="s">
        <v>1</v>
      </c>
      <c r="E16" s="2" t="s">
        <v>128</v>
      </c>
    </row>
    <row r="17" spans="1:5" x14ac:dyDescent="0.25">
      <c r="A17" s="236" t="s">
        <v>164</v>
      </c>
      <c r="B17" s="237"/>
      <c r="C17" s="238"/>
      <c r="D17" s="240" t="s">
        <v>2</v>
      </c>
      <c r="E17" s="240"/>
    </row>
    <row r="18" spans="1:5" x14ac:dyDescent="0.25">
      <c r="A18" s="241">
        <v>400000</v>
      </c>
      <c r="B18" s="242"/>
      <c r="C18" s="3" t="s">
        <v>3</v>
      </c>
      <c r="D18" s="1" t="s">
        <v>4</v>
      </c>
      <c r="E18" s="4">
        <v>45933</v>
      </c>
    </row>
    <row r="19" spans="1:5" x14ac:dyDescent="0.25">
      <c r="A19" s="236" t="s">
        <v>160</v>
      </c>
      <c r="B19" s="237"/>
      <c r="C19" s="238"/>
      <c r="D19" s="243" t="s">
        <v>5</v>
      </c>
      <c r="E19" s="243"/>
    </row>
    <row r="20" spans="1:5" ht="25.5" x14ac:dyDescent="0.25">
      <c r="A20" s="5" t="s">
        <v>6</v>
      </c>
      <c r="B20" s="5" t="s">
        <v>7</v>
      </c>
      <c r="C20" s="244" t="s">
        <v>8</v>
      </c>
      <c r="D20" s="245"/>
      <c r="E20" s="6" t="s">
        <v>9</v>
      </c>
    </row>
    <row r="21" spans="1:5" x14ac:dyDescent="0.25">
      <c r="A21" s="2"/>
      <c r="B21" s="2"/>
      <c r="C21" s="236" t="s">
        <v>186</v>
      </c>
      <c r="D21" s="238"/>
      <c r="E21" s="7">
        <v>400000</v>
      </c>
    </row>
    <row r="22" spans="1:5" x14ac:dyDescent="0.25">
      <c r="A22" s="2"/>
      <c r="B22" s="2"/>
      <c r="C22" s="236"/>
      <c r="D22" s="238"/>
      <c r="E22" s="7"/>
    </row>
    <row r="23" spans="1:5" x14ac:dyDescent="0.25">
      <c r="A23" s="2"/>
      <c r="B23" s="2"/>
      <c r="C23" s="236"/>
      <c r="D23" s="238"/>
      <c r="E23" s="7"/>
    </row>
    <row r="24" spans="1:5" x14ac:dyDescent="0.25">
      <c r="A24" s="3" t="s">
        <v>10</v>
      </c>
      <c r="B24" s="3" t="s">
        <v>11</v>
      </c>
      <c r="C24" s="8"/>
      <c r="D24" s="9" t="s">
        <v>12</v>
      </c>
      <c r="E24" s="10">
        <f>SUM(E21:E22)</f>
        <v>400000</v>
      </c>
    </row>
    <row r="25" spans="1:5" x14ac:dyDescent="0.25">
      <c r="A25" s="2"/>
      <c r="B25" s="2"/>
      <c r="C25" s="3"/>
      <c r="D25" s="1" t="s">
        <v>13</v>
      </c>
      <c r="E25" s="2" t="s">
        <v>185</v>
      </c>
    </row>
    <row r="26" spans="1:5" x14ac:dyDescent="0.25">
      <c r="A26" s="3" t="s">
        <v>14</v>
      </c>
      <c r="B26" s="3" t="s">
        <v>15</v>
      </c>
      <c r="C26" s="240" t="s">
        <v>16</v>
      </c>
      <c r="D26" s="240"/>
      <c r="E26" s="240"/>
    </row>
    <row r="27" spans="1:5" x14ac:dyDescent="0.25">
      <c r="A27" s="2"/>
      <c r="B27" s="2" t="s">
        <v>117</v>
      </c>
      <c r="C27" s="236" t="s">
        <v>164</v>
      </c>
      <c r="D27" s="237"/>
      <c r="E27" s="238"/>
    </row>
    <row r="31" spans="1:5" x14ac:dyDescent="0.25">
      <c r="A31" s="54" t="s">
        <v>126</v>
      </c>
      <c r="B31" s="239" t="s">
        <v>0</v>
      </c>
      <c r="C31" s="239"/>
      <c r="D31" s="1" t="s">
        <v>1</v>
      </c>
      <c r="E31" s="2" t="s">
        <v>132</v>
      </c>
    </row>
    <row r="32" spans="1:5" x14ac:dyDescent="0.25">
      <c r="A32" s="236" t="s">
        <v>165</v>
      </c>
      <c r="B32" s="237"/>
      <c r="C32" s="238"/>
      <c r="D32" s="240" t="s">
        <v>2</v>
      </c>
      <c r="E32" s="240"/>
    </row>
    <row r="33" spans="1:5" x14ac:dyDescent="0.25">
      <c r="A33" s="241">
        <v>400000</v>
      </c>
      <c r="B33" s="242"/>
      <c r="C33" s="3" t="s">
        <v>3</v>
      </c>
      <c r="D33" s="1" t="s">
        <v>4</v>
      </c>
      <c r="E33" s="4">
        <v>45933</v>
      </c>
    </row>
    <row r="34" spans="1:5" x14ac:dyDescent="0.25">
      <c r="A34" s="236" t="s">
        <v>160</v>
      </c>
      <c r="B34" s="237"/>
      <c r="C34" s="238"/>
      <c r="D34" s="243" t="s">
        <v>5</v>
      </c>
      <c r="E34" s="243"/>
    </row>
    <row r="35" spans="1:5" ht="25.5" x14ac:dyDescent="0.25">
      <c r="A35" s="5" t="s">
        <v>6</v>
      </c>
      <c r="B35" s="5" t="s">
        <v>7</v>
      </c>
      <c r="C35" s="244" t="s">
        <v>8</v>
      </c>
      <c r="D35" s="245"/>
      <c r="E35" s="6" t="s">
        <v>9</v>
      </c>
    </row>
    <row r="36" spans="1:5" x14ac:dyDescent="0.25">
      <c r="A36" s="2"/>
      <c r="B36" s="2"/>
      <c r="C36" s="236" t="s">
        <v>186</v>
      </c>
      <c r="D36" s="238"/>
      <c r="E36" s="7">
        <v>400000</v>
      </c>
    </row>
    <row r="37" spans="1:5" x14ac:dyDescent="0.25">
      <c r="A37" s="2"/>
      <c r="B37" s="2"/>
      <c r="C37" s="236"/>
      <c r="D37" s="238"/>
      <c r="E37" s="7"/>
    </row>
    <row r="38" spans="1:5" x14ac:dyDescent="0.25">
      <c r="A38" s="2"/>
      <c r="B38" s="2"/>
      <c r="C38" s="236"/>
      <c r="D38" s="238"/>
      <c r="E38" s="7"/>
    </row>
    <row r="39" spans="1:5" x14ac:dyDescent="0.25">
      <c r="A39" s="3" t="s">
        <v>10</v>
      </c>
      <c r="B39" s="3" t="s">
        <v>11</v>
      </c>
      <c r="C39" s="8"/>
      <c r="D39" s="9" t="s">
        <v>12</v>
      </c>
      <c r="E39" s="10">
        <f>SUM(E36:E37)</f>
        <v>400000</v>
      </c>
    </row>
    <row r="40" spans="1:5" x14ac:dyDescent="0.25">
      <c r="A40" s="2"/>
      <c r="B40" s="2"/>
      <c r="C40" s="3"/>
      <c r="D40" s="1" t="s">
        <v>13</v>
      </c>
      <c r="E40" s="2" t="s">
        <v>185</v>
      </c>
    </row>
    <row r="41" spans="1:5" x14ac:dyDescent="0.25">
      <c r="A41" s="3" t="s">
        <v>14</v>
      </c>
      <c r="B41" s="3" t="s">
        <v>15</v>
      </c>
      <c r="C41" s="240" t="s">
        <v>16</v>
      </c>
      <c r="D41" s="240"/>
      <c r="E41" s="240"/>
    </row>
    <row r="42" spans="1:5" x14ac:dyDescent="0.25">
      <c r="A42" s="2"/>
      <c r="B42" s="2" t="s">
        <v>117</v>
      </c>
      <c r="C42" s="236" t="s">
        <v>165</v>
      </c>
      <c r="D42" s="237"/>
      <c r="E42" s="238"/>
    </row>
    <row r="45" spans="1:5" x14ac:dyDescent="0.25">
      <c r="A45" s="54" t="s">
        <v>126</v>
      </c>
      <c r="B45" s="239" t="s">
        <v>0</v>
      </c>
      <c r="C45" s="239"/>
      <c r="D45" s="1" t="s">
        <v>1</v>
      </c>
      <c r="E45" s="2" t="s">
        <v>147</v>
      </c>
    </row>
    <row r="46" spans="1:5" x14ac:dyDescent="0.25">
      <c r="A46" s="236" t="s">
        <v>166</v>
      </c>
      <c r="B46" s="237"/>
      <c r="C46" s="238"/>
      <c r="D46" s="240" t="s">
        <v>2</v>
      </c>
      <c r="E46" s="240"/>
    </row>
    <row r="47" spans="1:5" x14ac:dyDescent="0.25">
      <c r="A47" s="241">
        <v>400000</v>
      </c>
      <c r="B47" s="242"/>
      <c r="C47" s="3" t="s">
        <v>3</v>
      </c>
      <c r="D47" s="1" t="s">
        <v>4</v>
      </c>
      <c r="E47" s="4">
        <v>45933</v>
      </c>
    </row>
    <row r="48" spans="1:5" x14ac:dyDescent="0.25">
      <c r="A48" s="236" t="s">
        <v>160</v>
      </c>
      <c r="B48" s="237"/>
      <c r="C48" s="238"/>
      <c r="D48" s="243" t="s">
        <v>5</v>
      </c>
      <c r="E48" s="243"/>
    </row>
    <row r="49" spans="1:5" ht="25.5" x14ac:dyDescent="0.25">
      <c r="A49" s="5" t="s">
        <v>6</v>
      </c>
      <c r="B49" s="5" t="s">
        <v>7</v>
      </c>
      <c r="C49" s="244" t="s">
        <v>8</v>
      </c>
      <c r="D49" s="245"/>
      <c r="E49" s="6" t="s">
        <v>9</v>
      </c>
    </row>
    <row r="50" spans="1:5" x14ac:dyDescent="0.25">
      <c r="A50" s="2"/>
      <c r="B50" s="2"/>
      <c r="C50" s="236" t="s">
        <v>186</v>
      </c>
      <c r="D50" s="238"/>
      <c r="E50" s="7">
        <v>400000</v>
      </c>
    </row>
    <row r="51" spans="1:5" x14ac:dyDescent="0.25">
      <c r="A51" s="2"/>
      <c r="B51" s="2"/>
      <c r="C51" s="236"/>
      <c r="D51" s="238"/>
      <c r="E51" s="7"/>
    </row>
    <row r="52" spans="1:5" x14ac:dyDescent="0.25">
      <c r="A52" s="2"/>
      <c r="B52" s="2"/>
      <c r="C52" s="236"/>
      <c r="D52" s="238"/>
      <c r="E52" s="7"/>
    </row>
    <row r="53" spans="1:5" x14ac:dyDescent="0.25">
      <c r="A53" s="3" t="s">
        <v>10</v>
      </c>
      <c r="B53" s="3" t="s">
        <v>11</v>
      </c>
      <c r="C53" s="8"/>
      <c r="D53" s="9" t="s">
        <v>12</v>
      </c>
      <c r="E53" s="10">
        <f>SUM(E50:E51)</f>
        <v>400000</v>
      </c>
    </row>
    <row r="54" spans="1:5" x14ac:dyDescent="0.25">
      <c r="A54" s="2"/>
      <c r="B54" s="2"/>
      <c r="C54" s="3"/>
      <c r="D54" s="1" t="s">
        <v>13</v>
      </c>
      <c r="E54" s="2" t="s">
        <v>185</v>
      </c>
    </row>
    <row r="55" spans="1:5" x14ac:dyDescent="0.25">
      <c r="A55" s="3" t="s">
        <v>14</v>
      </c>
      <c r="B55" s="3" t="s">
        <v>15</v>
      </c>
      <c r="C55" s="240" t="s">
        <v>16</v>
      </c>
      <c r="D55" s="240"/>
      <c r="E55" s="240"/>
    </row>
    <row r="56" spans="1:5" x14ac:dyDescent="0.25">
      <c r="A56" s="2"/>
      <c r="B56" s="2" t="s">
        <v>117</v>
      </c>
      <c r="C56" s="236" t="s">
        <v>166</v>
      </c>
      <c r="D56" s="237"/>
      <c r="E56" s="238"/>
    </row>
    <row r="58" spans="1:5" x14ac:dyDescent="0.25">
      <c r="A58" s="54" t="s">
        <v>126</v>
      </c>
      <c r="B58" s="239" t="s">
        <v>0</v>
      </c>
      <c r="C58" s="239"/>
      <c r="D58" s="1" t="s">
        <v>1</v>
      </c>
      <c r="E58" s="2" t="s">
        <v>161</v>
      </c>
    </row>
    <row r="59" spans="1:5" x14ac:dyDescent="0.25">
      <c r="A59" s="236" t="s">
        <v>158</v>
      </c>
      <c r="B59" s="237"/>
      <c r="C59" s="238"/>
      <c r="D59" s="240" t="s">
        <v>2</v>
      </c>
      <c r="E59" s="240"/>
    </row>
    <row r="60" spans="1:5" x14ac:dyDescent="0.25">
      <c r="A60" s="241">
        <v>90380</v>
      </c>
      <c r="B60" s="242"/>
      <c r="C60" s="3" t="s">
        <v>3</v>
      </c>
      <c r="D60" s="1" t="s">
        <v>4</v>
      </c>
      <c r="E60" s="4">
        <v>45933</v>
      </c>
    </row>
    <row r="61" spans="1:5" x14ac:dyDescent="0.25">
      <c r="A61" s="236" t="s">
        <v>162</v>
      </c>
      <c r="B61" s="237"/>
      <c r="C61" s="238"/>
      <c r="D61" s="243" t="s">
        <v>5</v>
      </c>
      <c r="E61" s="243"/>
    </row>
    <row r="62" spans="1:5" ht="25.5" x14ac:dyDescent="0.25">
      <c r="A62" s="5" t="s">
        <v>6</v>
      </c>
      <c r="B62" s="5" t="s">
        <v>7</v>
      </c>
      <c r="C62" s="244" t="s">
        <v>8</v>
      </c>
      <c r="D62" s="245"/>
      <c r="E62" s="6" t="s">
        <v>9</v>
      </c>
    </row>
    <row r="63" spans="1:5" x14ac:dyDescent="0.25">
      <c r="A63" s="2"/>
      <c r="B63" s="2"/>
      <c r="C63" s="236" t="s">
        <v>294</v>
      </c>
      <c r="D63" s="238"/>
      <c r="E63" s="7">
        <v>90380</v>
      </c>
    </row>
    <row r="64" spans="1:5" x14ac:dyDescent="0.25">
      <c r="A64" s="2"/>
      <c r="B64" s="2"/>
      <c r="C64" s="236"/>
      <c r="D64" s="238"/>
      <c r="E64" s="7"/>
    </row>
    <row r="65" spans="1:5" x14ac:dyDescent="0.25">
      <c r="A65" s="2"/>
      <c r="B65" s="2"/>
      <c r="C65" s="236"/>
      <c r="D65" s="238"/>
      <c r="E65" s="7"/>
    </row>
    <row r="66" spans="1:5" x14ac:dyDescent="0.25">
      <c r="A66" s="3" t="s">
        <v>10</v>
      </c>
      <c r="B66" s="3" t="s">
        <v>11</v>
      </c>
      <c r="C66" s="8"/>
      <c r="D66" s="9" t="s">
        <v>12</v>
      </c>
      <c r="E66" s="10">
        <f>SUM(E63:E64)</f>
        <v>90380</v>
      </c>
    </row>
    <row r="67" spans="1:5" x14ac:dyDescent="0.25">
      <c r="A67" s="2"/>
      <c r="B67" s="2"/>
      <c r="C67" s="3"/>
      <c r="D67" s="1" t="s">
        <v>13</v>
      </c>
      <c r="E67" s="2" t="s">
        <v>185</v>
      </c>
    </row>
    <row r="68" spans="1:5" x14ac:dyDescent="0.25">
      <c r="A68" s="3" t="s">
        <v>14</v>
      </c>
      <c r="B68" s="3" t="s">
        <v>15</v>
      </c>
      <c r="C68" s="240" t="s">
        <v>16</v>
      </c>
      <c r="D68" s="240"/>
      <c r="E68" s="240"/>
    </row>
    <row r="69" spans="1:5" x14ac:dyDescent="0.25">
      <c r="A69" s="2"/>
      <c r="B69" s="2" t="s">
        <v>117</v>
      </c>
      <c r="C69" s="236" t="s">
        <v>158</v>
      </c>
      <c r="D69" s="237"/>
      <c r="E69" s="238"/>
    </row>
    <row r="71" spans="1:5" x14ac:dyDescent="0.25">
      <c r="A71" s="54" t="s">
        <v>126</v>
      </c>
      <c r="B71" s="239" t="s">
        <v>0</v>
      </c>
      <c r="C71" s="239"/>
      <c r="D71" s="1" t="s">
        <v>1</v>
      </c>
      <c r="E71" s="2" t="s">
        <v>163</v>
      </c>
    </row>
    <row r="72" spans="1:5" x14ac:dyDescent="0.25">
      <c r="A72" s="236" t="s">
        <v>158</v>
      </c>
      <c r="B72" s="237"/>
      <c r="C72" s="238"/>
      <c r="D72" s="240" t="s">
        <v>2</v>
      </c>
      <c r="E72" s="240"/>
    </row>
    <row r="73" spans="1:5" x14ac:dyDescent="0.25">
      <c r="A73" s="241">
        <v>1395</v>
      </c>
      <c r="B73" s="242"/>
      <c r="C73" s="3" t="s">
        <v>3</v>
      </c>
      <c r="D73" s="1" t="s">
        <v>4</v>
      </c>
      <c r="E73" s="4">
        <v>45950</v>
      </c>
    </row>
    <row r="74" spans="1:5" x14ac:dyDescent="0.25">
      <c r="A74" s="236" t="s">
        <v>150</v>
      </c>
      <c r="B74" s="237"/>
      <c r="C74" s="238"/>
      <c r="D74" s="243" t="s">
        <v>5</v>
      </c>
      <c r="E74" s="243"/>
    </row>
    <row r="75" spans="1:5" ht="25.5" x14ac:dyDescent="0.25">
      <c r="A75" s="5" t="s">
        <v>6</v>
      </c>
      <c r="B75" s="5" t="s">
        <v>7</v>
      </c>
      <c r="C75" s="244" t="s">
        <v>8</v>
      </c>
      <c r="D75" s="245"/>
      <c r="E75" s="6" t="s">
        <v>9</v>
      </c>
    </row>
    <row r="76" spans="1:5" x14ac:dyDescent="0.25">
      <c r="A76" s="2"/>
      <c r="B76" s="2"/>
      <c r="C76" s="236" t="s">
        <v>159</v>
      </c>
      <c r="D76" s="238"/>
      <c r="E76" s="7">
        <v>1397</v>
      </c>
    </row>
    <row r="77" spans="1:5" x14ac:dyDescent="0.25">
      <c r="A77" s="2"/>
      <c r="B77" s="2"/>
      <c r="C77" s="236" t="s">
        <v>129</v>
      </c>
      <c r="D77" s="238"/>
      <c r="E77" s="7">
        <v>-2</v>
      </c>
    </row>
    <row r="78" spans="1:5" x14ac:dyDescent="0.25">
      <c r="A78" s="2"/>
      <c r="B78" s="2"/>
      <c r="C78" s="236"/>
      <c r="D78" s="238"/>
      <c r="E78" s="7"/>
    </row>
    <row r="79" spans="1:5" x14ac:dyDescent="0.25">
      <c r="A79" s="3" t="s">
        <v>10</v>
      </c>
      <c r="B79" s="3" t="s">
        <v>11</v>
      </c>
      <c r="C79" s="8"/>
      <c r="D79" s="9" t="s">
        <v>12</v>
      </c>
      <c r="E79" s="10">
        <f>SUM(E76:E77)</f>
        <v>1395</v>
      </c>
    </row>
    <row r="80" spans="1:5" x14ac:dyDescent="0.25">
      <c r="A80" s="2"/>
      <c r="B80" s="2"/>
      <c r="C80" s="3"/>
      <c r="D80" s="1" t="s">
        <v>13</v>
      </c>
      <c r="E80" s="2" t="s">
        <v>185</v>
      </c>
    </row>
    <row r="81" spans="1:5" x14ac:dyDescent="0.25">
      <c r="A81" s="3" t="s">
        <v>14</v>
      </c>
      <c r="B81" s="3" t="s">
        <v>15</v>
      </c>
      <c r="C81" s="240" t="s">
        <v>16</v>
      </c>
      <c r="D81" s="240"/>
      <c r="E81" s="240"/>
    </row>
    <row r="82" spans="1:5" x14ac:dyDescent="0.25">
      <c r="A82" s="2"/>
      <c r="B82" s="2" t="s">
        <v>117</v>
      </c>
      <c r="C82" s="236" t="s">
        <v>158</v>
      </c>
      <c r="D82" s="237"/>
      <c r="E82" s="238"/>
    </row>
    <row r="85" spans="1:5" x14ac:dyDescent="0.25">
      <c r="A85" s="54" t="s">
        <v>126</v>
      </c>
      <c r="B85" s="131" t="s">
        <v>0</v>
      </c>
      <c r="C85" s="131"/>
      <c r="D85" s="1" t="s">
        <v>1</v>
      </c>
      <c r="E85" s="2" t="s">
        <v>218</v>
      </c>
    </row>
    <row r="86" spans="1:5" x14ac:dyDescent="0.25">
      <c r="A86" s="62" t="s">
        <v>158</v>
      </c>
      <c r="B86" s="127"/>
      <c r="C86" s="63"/>
      <c r="D86" s="130" t="s">
        <v>2</v>
      </c>
      <c r="E86" s="130"/>
    </row>
    <row r="87" spans="1:5" x14ac:dyDescent="0.25">
      <c r="A87" s="132">
        <v>150000</v>
      </c>
      <c r="B87" s="133"/>
      <c r="C87" s="3" t="s">
        <v>3</v>
      </c>
      <c r="D87" s="1" t="s">
        <v>4</v>
      </c>
      <c r="E87" s="4">
        <v>45951</v>
      </c>
    </row>
    <row r="88" spans="1:5" x14ac:dyDescent="0.25">
      <c r="A88" s="62" t="s">
        <v>219</v>
      </c>
      <c r="B88" s="127"/>
      <c r="C88" s="63"/>
      <c r="D88" s="134" t="s">
        <v>5</v>
      </c>
      <c r="E88" s="134"/>
    </row>
    <row r="89" spans="1:5" ht="25.5" x14ac:dyDescent="0.25">
      <c r="A89" s="5" t="s">
        <v>6</v>
      </c>
      <c r="B89" s="5" t="s">
        <v>7</v>
      </c>
      <c r="C89" s="128" t="s">
        <v>8</v>
      </c>
      <c r="D89" s="129"/>
      <c r="E89" s="6" t="s">
        <v>9</v>
      </c>
    </row>
    <row r="90" spans="1:5" x14ac:dyDescent="0.25">
      <c r="A90" s="2"/>
      <c r="B90" s="2"/>
      <c r="C90" s="62" t="s">
        <v>220</v>
      </c>
      <c r="D90" s="63"/>
      <c r="E90" s="7">
        <v>150000</v>
      </c>
    </row>
    <row r="91" spans="1:5" x14ac:dyDescent="0.25">
      <c r="A91" s="2"/>
      <c r="B91" s="2"/>
      <c r="C91" s="62"/>
      <c r="D91" s="63"/>
      <c r="E91" s="7"/>
    </row>
    <row r="92" spans="1:5" x14ac:dyDescent="0.25">
      <c r="A92" s="2"/>
      <c r="B92" s="2"/>
      <c r="C92" s="62"/>
      <c r="D92" s="63"/>
      <c r="E92" s="7"/>
    </row>
    <row r="93" spans="1:5" x14ac:dyDescent="0.25">
      <c r="A93" s="3" t="s">
        <v>10</v>
      </c>
      <c r="B93" s="3" t="s">
        <v>11</v>
      </c>
      <c r="C93" s="8"/>
      <c r="D93" s="9" t="s">
        <v>12</v>
      </c>
      <c r="E93" s="10">
        <f>SUM(E90:E91)</f>
        <v>150000</v>
      </c>
    </row>
    <row r="94" spans="1:5" x14ac:dyDescent="0.25">
      <c r="A94" s="2"/>
      <c r="B94" s="2"/>
      <c r="C94" s="3"/>
      <c r="D94" s="1" t="s">
        <v>13</v>
      </c>
      <c r="E94" s="2" t="s">
        <v>124</v>
      </c>
    </row>
    <row r="95" spans="1:5" x14ac:dyDescent="0.25">
      <c r="A95" s="3" t="s">
        <v>14</v>
      </c>
      <c r="B95" s="3" t="s">
        <v>15</v>
      </c>
      <c r="C95" s="130" t="s">
        <v>16</v>
      </c>
      <c r="D95" s="130"/>
      <c r="E95" s="130"/>
    </row>
    <row r="96" spans="1:5" x14ac:dyDescent="0.25">
      <c r="A96" s="2"/>
      <c r="B96" s="2" t="s">
        <v>117</v>
      </c>
      <c r="C96" s="62" t="s">
        <v>158</v>
      </c>
      <c r="D96" s="127"/>
      <c r="E96" s="63"/>
    </row>
    <row r="100" spans="1:5" x14ac:dyDescent="0.25">
      <c r="A100" s="54" t="s">
        <v>126</v>
      </c>
      <c r="B100" s="131" t="s">
        <v>0</v>
      </c>
      <c r="C100" s="131"/>
      <c r="D100" s="1" t="s">
        <v>1</v>
      </c>
      <c r="E100" s="2"/>
    </row>
    <row r="101" spans="1:5" x14ac:dyDescent="0.25">
      <c r="A101" s="62"/>
      <c r="B101" s="127"/>
      <c r="C101" s="63"/>
      <c r="D101" s="130" t="s">
        <v>2</v>
      </c>
      <c r="E101" s="130"/>
    </row>
    <row r="102" spans="1:5" x14ac:dyDescent="0.25">
      <c r="A102" s="132"/>
      <c r="B102" s="133"/>
      <c r="C102" s="3" t="s">
        <v>3</v>
      </c>
      <c r="D102" s="1" t="s">
        <v>4</v>
      </c>
      <c r="E102" s="4"/>
    </row>
    <row r="103" spans="1:5" x14ac:dyDescent="0.25">
      <c r="A103" s="62"/>
      <c r="B103" s="127"/>
      <c r="C103" s="63"/>
      <c r="D103" s="134" t="s">
        <v>5</v>
      </c>
      <c r="E103" s="134"/>
    </row>
    <row r="104" spans="1:5" ht="25.5" x14ac:dyDescent="0.25">
      <c r="A104" s="5" t="s">
        <v>6</v>
      </c>
      <c r="B104" s="5" t="s">
        <v>7</v>
      </c>
      <c r="C104" s="128" t="s">
        <v>8</v>
      </c>
      <c r="D104" s="129"/>
      <c r="E104" s="6" t="s">
        <v>9</v>
      </c>
    </row>
    <row r="105" spans="1:5" x14ac:dyDescent="0.25">
      <c r="A105" s="2"/>
      <c r="B105" s="2"/>
      <c r="C105" s="62"/>
      <c r="D105" s="63"/>
      <c r="E105" s="7"/>
    </row>
    <row r="106" spans="1:5" x14ac:dyDescent="0.25">
      <c r="A106" s="2"/>
      <c r="B106" s="2"/>
      <c r="C106" s="62"/>
      <c r="D106" s="63"/>
      <c r="E106" s="7"/>
    </row>
    <row r="107" spans="1:5" x14ac:dyDescent="0.25">
      <c r="A107" s="2"/>
      <c r="B107" s="2"/>
      <c r="C107" s="62"/>
      <c r="D107" s="63"/>
      <c r="E107" s="7"/>
    </row>
    <row r="108" spans="1:5" x14ac:dyDescent="0.25">
      <c r="A108" s="3" t="s">
        <v>10</v>
      </c>
      <c r="B108" s="3" t="s">
        <v>11</v>
      </c>
      <c r="C108" s="8"/>
      <c r="D108" s="9" t="s">
        <v>12</v>
      </c>
      <c r="E108" s="10">
        <f>SUM(E105:E106)</f>
        <v>0</v>
      </c>
    </row>
    <row r="109" spans="1:5" x14ac:dyDescent="0.25">
      <c r="A109" s="2"/>
      <c r="B109" s="2"/>
      <c r="C109" s="3"/>
      <c r="D109" s="1" t="s">
        <v>13</v>
      </c>
      <c r="E109" s="2"/>
    </row>
    <row r="110" spans="1:5" x14ac:dyDescent="0.25">
      <c r="A110" s="3" t="s">
        <v>14</v>
      </c>
      <c r="B110" s="3" t="s">
        <v>15</v>
      </c>
      <c r="C110" s="130" t="s">
        <v>16</v>
      </c>
      <c r="D110" s="130"/>
      <c r="E110" s="130"/>
    </row>
    <row r="111" spans="1:5" x14ac:dyDescent="0.25">
      <c r="A111" s="2"/>
      <c r="B111" s="2"/>
      <c r="C111" s="62"/>
      <c r="D111" s="127"/>
      <c r="E111" s="63"/>
    </row>
  </sheetData>
  <mergeCells count="72">
    <mergeCell ref="C77:D77"/>
    <mergeCell ref="C78:D78"/>
    <mergeCell ref="C81:E81"/>
    <mergeCell ref="C82:E82"/>
    <mergeCell ref="A73:B73"/>
    <mergeCell ref="A74:C74"/>
    <mergeCell ref="D74:E74"/>
    <mergeCell ref="C75:D75"/>
    <mergeCell ref="C76:D76"/>
    <mergeCell ref="C65:D65"/>
    <mergeCell ref="C68:E68"/>
    <mergeCell ref="C69:E69"/>
    <mergeCell ref="B71:C71"/>
    <mergeCell ref="A72:C72"/>
    <mergeCell ref="D72:E72"/>
    <mergeCell ref="A61:C61"/>
    <mergeCell ref="D61:E61"/>
    <mergeCell ref="C62:D62"/>
    <mergeCell ref="C63:D63"/>
    <mergeCell ref="C64:D64"/>
    <mergeCell ref="C56:E56"/>
    <mergeCell ref="B58:C58"/>
    <mergeCell ref="A59:C59"/>
    <mergeCell ref="D59:E59"/>
    <mergeCell ref="A60:B60"/>
    <mergeCell ref="C49:D49"/>
    <mergeCell ref="C50:D50"/>
    <mergeCell ref="C51:D51"/>
    <mergeCell ref="C52:D52"/>
    <mergeCell ref="C55:E55"/>
    <mergeCell ref="A46:C46"/>
    <mergeCell ref="D46:E46"/>
    <mergeCell ref="A47:B47"/>
    <mergeCell ref="A48:C48"/>
    <mergeCell ref="D48:E48"/>
    <mergeCell ref="C37:D37"/>
    <mergeCell ref="C38:D38"/>
    <mergeCell ref="C41:E41"/>
    <mergeCell ref="C42:E42"/>
    <mergeCell ref="B45:C45"/>
    <mergeCell ref="A33:B33"/>
    <mergeCell ref="A34:C34"/>
    <mergeCell ref="D34:E34"/>
    <mergeCell ref="C35:D35"/>
    <mergeCell ref="C36:D36"/>
    <mergeCell ref="C27:E27"/>
    <mergeCell ref="B31:C31"/>
    <mergeCell ref="A32:C32"/>
    <mergeCell ref="D32:E32"/>
    <mergeCell ref="C20:D20"/>
    <mergeCell ref="C21:D21"/>
    <mergeCell ref="C22:D22"/>
    <mergeCell ref="C23:D23"/>
    <mergeCell ref="C26:E26"/>
    <mergeCell ref="B16:C16"/>
    <mergeCell ref="A17:C17"/>
    <mergeCell ref="D17:E17"/>
    <mergeCell ref="A18:B18"/>
    <mergeCell ref="A19:C19"/>
    <mergeCell ref="D19:E19"/>
    <mergeCell ref="C12:E12"/>
    <mergeCell ref="B1:C1"/>
    <mergeCell ref="A2:C2"/>
    <mergeCell ref="D2:E2"/>
    <mergeCell ref="A3:B3"/>
    <mergeCell ref="A4:C4"/>
    <mergeCell ref="D4:E4"/>
    <mergeCell ref="C5:D5"/>
    <mergeCell ref="C6:D6"/>
    <mergeCell ref="C7:D7"/>
    <mergeCell ref="C8:D8"/>
    <mergeCell ref="C11:E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4"/>
  <sheetViews>
    <sheetView topLeftCell="A9" workbookViewId="0">
      <selection activeCell="A89" sqref="A89:C89"/>
    </sheetView>
  </sheetViews>
  <sheetFormatPr defaultRowHeight="15" x14ac:dyDescent="0.25"/>
  <cols>
    <col min="1" max="2" width="19.5703125" customWidth="1"/>
    <col min="3" max="4" width="22.28515625" customWidth="1"/>
    <col min="5" max="5" width="19.140625" customWidth="1"/>
  </cols>
  <sheetData>
    <row r="1" spans="1:6" x14ac:dyDescent="0.25">
      <c r="A1" s="54" t="s">
        <v>126</v>
      </c>
      <c r="B1" s="239" t="s">
        <v>17</v>
      </c>
      <c r="C1" s="239"/>
      <c r="D1" s="1" t="s">
        <v>18</v>
      </c>
      <c r="E1" s="2" t="s">
        <v>125</v>
      </c>
    </row>
    <row r="2" spans="1:6" x14ac:dyDescent="0.25">
      <c r="A2" s="236" t="s">
        <v>119</v>
      </c>
      <c r="B2" s="237"/>
      <c r="C2" s="238"/>
      <c r="D2" s="240" t="s">
        <v>19</v>
      </c>
      <c r="E2" s="240"/>
    </row>
    <row r="3" spans="1:6" x14ac:dyDescent="0.25">
      <c r="A3" s="241">
        <v>84835</v>
      </c>
      <c r="B3" s="242"/>
      <c r="C3" s="3" t="s">
        <v>3</v>
      </c>
      <c r="D3" s="1" t="s">
        <v>4</v>
      </c>
      <c r="E3" s="4">
        <v>45933</v>
      </c>
    </row>
    <row r="4" spans="1:6" x14ac:dyDescent="0.25">
      <c r="A4" s="236" t="s">
        <v>123</v>
      </c>
      <c r="B4" s="237"/>
      <c r="C4" s="238"/>
      <c r="D4" s="243" t="s">
        <v>20</v>
      </c>
      <c r="E4" s="243"/>
    </row>
    <row r="5" spans="1:6" ht="25.5" x14ac:dyDescent="0.25">
      <c r="A5" s="5" t="s">
        <v>6</v>
      </c>
      <c r="B5" s="5" t="s">
        <v>7</v>
      </c>
      <c r="C5" s="244" t="s">
        <v>8</v>
      </c>
      <c r="D5" s="245"/>
      <c r="E5" s="6" t="s">
        <v>9</v>
      </c>
    </row>
    <row r="6" spans="1:6" x14ac:dyDescent="0.25">
      <c r="A6" s="2"/>
      <c r="B6" s="2"/>
      <c r="C6" s="236" t="s">
        <v>120</v>
      </c>
      <c r="D6" s="238"/>
      <c r="E6" s="241">
        <v>84836</v>
      </c>
      <c r="F6" s="242"/>
    </row>
    <row r="7" spans="1:6" x14ac:dyDescent="0.25">
      <c r="A7" s="2"/>
      <c r="B7" s="2"/>
      <c r="C7" s="236" t="s">
        <v>122</v>
      </c>
      <c r="D7" s="238"/>
      <c r="E7" s="7">
        <v>-1</v>
      </c>
    </row>
    <row r="8" spans="1:6" x14ac:dyDescent="0.25">
      <c r="A8" s="2"/>
      <c r="B8" s="2"/>
      <c r="C8" s="236"/>
      <c r="D8" s="238"/>
      <c r="E8" s="7"/>
    </row>
    <row r="9" spans="1:6" x14ac:dyDescent="0.25">
      <c r="A9" s="3" t="s">
        <v>10</v>
      </c>
      <c r="B9" s="3" t="s">
        <v>11</v>
      </c>
      <c r="C9" s="8"/>
      <c r="D9" s="9" t="s">
        <v>12</v>
      </c>
      <c r="E9" s="10">
        <f>SUM(E6:E7)</f>
        <v>84835</v>
      </c>
    </row>
    <row r="10" spans="1:6" x14ac:dyDescent="0.25">
      <c r="A10" s="2"/>
      <c r="B10" s="2"/>
      <c r="C10" s="3"/>
      <c r="D10" s="1" t="s">
        <v>13</v>
      </c>
      <c r="E10" s="2" t="s">
        <v>124</v>
      </c>
    </row>
    <row r="11" spans="1:6" x14ac:dyDescent="0.25">
      <c r="A11" s="3" t="s">
        <v>14</v>
      </c>
      <c r="B11" s="3" t="s">
        <v>15</v>
      </c>
      <c r="C11" s="240" t="s">
        <v>21</v>
      </c>
      <c r="D11" s="240"/>
      <c r="E11" s="240"/>
    </row>
    <row r="12" spans="1:6" x14ac:dyDescent="0.25">
      <c r="A12" s="2" t="s">
        <v>117</v>
      </c>
      <c r="B12" s="2" t="s">
        <v>117</v>
      </c>
      <c r="C12" s="236" t="s">
        <v>121</v>
      </c>
      <c r="D12" s="237"/>
      <c r="E12" s="238"/>
    </row>
    <row r="17" spans="1:5" x14ac:dyDescent="0.25">
      <c r="A17" s="54" t="s">
        <v>126</v>
      </c>
      <c r="B17" s="239" t="s">
        <v>17</v>
      </c>
      <c r="C17" s="239"/>
      <c r="D17" s="1" t="s">
        <v>18</v>
      </c>
      <c r="E17" s="2" t="s">
        <v>128</v>
      </c>
    </row>
    <row r="18" spans="1:5" x14ac:dyDescent="0.25">
      <c r="A18" s="236" t="s">
        <v>127</v>
      </c>
      <c r="B18" s="237"/>
      <c r="C18" s="238"/>
      <c r="D18" s="240" t="s">
        <v>19</v>
      </c>
      <c r="E18" s="240"/>
    </row>
    <row r="19" spans="1:5" x14ac:dyDescent="0.25">
      <c r="A19" s="241">
        <v>5545</v>
      </c>
      <c r="B19" s="242"/>
      <c r="C19" s="3" t="s">
        <v>3</v>
      </c>
      <c r="D19" s="1" t="s">
        <v>4</v>
      </c>
      <c r="E19" s="4">
        <v>45933</v>
      </c>
    </row>
    <row r="20" spans="1:5" x14ac:dyDescent="0.25">
      <c r="A20" s="236" t="s">
        <v>130</v>
      </c>
      <c r="B20" s="237"/>
      <c r="C20" s="238"/>
      <c r="D20" s="243" t="s">
        <v>20</v>
      </c>
      <c r="E20" s="243"/>
    </row>
    <row r="21" spans="1:5" ht="25.5" x14ac:dyDescent="0.25">
      <c r="A21" s="5" t="s">
        <v>6</v>
      </c>
      <c r="B21" s="5" t="s">
        <v>7</v>
      </c>
      <c r="C21" s="244" t="s">
        <v>8</v>
      </c>
      <c r="D21" s="245"/>
      <c r="E21" s="6" t="s">
        <v>9</v>
      </c>
    </row>
    <row r="22" spans="1:5" ht="27" customHeight="1" x14ac:dyDescent="0.25">
      <c r="A22" s="2"/>
      <c r="B22" s="2"/>
      <c r="C22" s="246" t="s">
        <v>131</v>
      </c>
      <c r="D22" s="238"/>
      <c r="E22" s="7">
        <v>5547</v>
      </c>
    </row>
    <row r="23" spans="1:5" x14ac:dyDescent="0.25">
      <c r="A23" s="2"/>
      <c r="B23" s="2"/>
      <c r="C23" s="236" t="s">
        <v>129</v>
      </c>
      <c r="D23" s="238"/>
      <c r="E23" s="7">
        <v>-2</v>
      </c>
    </row>
    <row r="24" spans="1:5" x14ac:dyDescent="0.25">
      <c r="A24" s="2"/>
      <c r="B24" s="2"/>
      <c r="C24" s="62"/>
      <c r="D24" s="63"/>
      <c r="E24" s="7"/>
    </row>
    <row r="25" spans="1:5" x14ac:dyDescent="0.25">
      <c r="A25" s="3" t="s">
        <v>10</v>
      </c>
      <c r="B25" s="3" t="s">
        <v>11</v>
      </c>
      <c r="C25" s="8"/>
      <c r="D25" s="9" t="s">
        <v>12</v>
      </c>
      <c r="E25" s="10">
        <f>SUM(E22:E23)</f>
        <v>5545</v>
      </c>
    </row>
    <row r="26" spans="1:5" x14ac:dyDescent="0.25">
      <c r="A26" s="2"/>
      <c r="B26" s="2"/>
      <c r="C26" s="3"/>
      <c r="D26" s="1" t="s">
        <v>13</v>
      </c>
      <c r="E26" s="2" t="s">
        <v>124</v>
      </c>
    </row>
    <row r="27" spans="1:5" x14ac:dyDescent="0.25">
      <c r="A27" s="3" t="s">
        <v>14</v>
      </c>
      <c r="B27" s="3" t="s">
        <v>15</v>
      </c>
      <c r="C27" s="240" t="s">
        <v>21</v>
      </c>
      <c r="D27" s="240"/>
      <c r="E27" s="240"/>
    </row>
    <row r="28" spans="1:5" x14ac:dyDescent="0.25">
      <c r="A28" s="2" t="s">
        <v>117</v>
      </c>
      <c r="B28" s="2" t="s">
        <v>117</v>
      </c>
      <c r="C28" s="236" t="s">
        <v>127</v>
      </c>
      <c r="D28" s="237"/>
      <c r="E28" s="238"/>
    </row>
    <row r="31" spans="1:5" x14ac:dyDescent="0.25">
      <c r="A31" s="54" t="s">
        <v>126</v>
      </c>
      <c r="B31" s="239" t="s">
        <v>17</v>
      </c>
      <c r="C31" s="239"/>
      <c r="D31" s="1" t="s">
        <v>18</v>
      </c>
      <c r="E31" s="2" t="s">
        <v>132</v>
      </c>
    </row>
    <row r="32" spans="1:5" x14ac:dyDescent="0.25">
      <c r="A32" s="236" t="s">
        <v>133</v>
      </c>
      <c r="B32" s="237"/>
      <c r="C32" s="238"/>
      <c r="D32" s="240" t="s">
        <v>19</v>
      </c>
      <c r="E32" s="240"/>
    </row>
    <row r="33" spans="1:5" x14ac:dyDescent="0.25">
      <c r="A33" s="241">
        <v>1600000</v>
      </c>
      <c r="B33" s="242"/>
      <c r="C33" s="3" t="s">
        <v>3</v>
      </c>
      <c r="D33" s="1" t="s">
        <v>4</v>
      </c>
      <c r="E33" s="4">
        <v>45933</v>
      </c>
    </row>
    <row r="34" spans="1:5" x14ac:dyDescent="0.25">
      <c r="A34" s="236" t="s">
        <v>134</v>
      </c>
      <c r="B34" s="237"/>
      <c r="C34" s="238"/>
      <c r="D34" s="243" t="s">
        <v>20</v>
      </c>
      <c r="E34" s="243"/>
    </row>
    <row r="35" spans="1:5" ht="25.5" x14ac:dyDescent="0.25">
      <c r="A35" s="5" t="s">
        <v>6</v>
      </c>
      <c r="B35" s="5" t="s">
        <v>7</v>
      </c>
      <c r="C35" s="244" t="s">
        <v>8</v>
      </c>
      <c r="D35" s="245"/>
      <c r="E35" s="6" t="s">
        <v>9</v>
      </c>
    </row>
    <row r="36" spans="1:5" x14ac:dyDescent="0.25">
      <c r="A36" s="2"/>
      <c r="B36" s="2"/>
      <c r="C36" s="236" t="s">
        <v>135</v>
      </c>
      <c r="D36" s="238"/>
      <c r="E36" s="7">
        <v>1600000</v>
      </c>
    </row>
    <row r="37" spans="1:5" x14ac:dyDescent="0.25">
      <c r="A37" s="2"/>
      <c r="B37" s="2"/>
      <c r="C37" s="236"/>
      <c r="D37" s="238"/>
      <c r="E37" s="7"/>
    </row>
    <row r="38" spans="1:5" x14ac:dyDescent="0.25">
      <c r="A38" s="2"/>
      <c r="B38" s="2"/>
      <c r="C38" s="236"/>
      <c r="D38" s="238"/>
      <c r="E38" s="7"/>
    </row>
    <row r="39" spans="1:5" x14ac:dyDescent="0.25">
      <c r="A39" s="3" t="s">
        <v>10</v>
      </c>
      <c r="B39" s="3" t="s">
        <v>11</v>
      </c>
      <c r="C39" s="8"/>
      <c r="D39" s="9" t="s">
        <v>12</v>
      </c>
      <c r="E39" s="10">
        <f>SUM(E36:E37)</f>
        <v>1600000</v>
      </c>
    </row>
    <row r="40" spans="1:5" x14ac:dyDescent="0.25">
      <c r="A40" s="2"/>
      <c r="B40" s="2"/>
      <c r="C40" s="3"/>
      <c r="D40" s="1" t="s">
        <v>13</v>
      </c>
      <c r="E40" s="2" t="s">
        <v>124</v>
      </c>
    </row>
    <row r="41" spans="1:5" x14ac:dyDescent="0.25">
      <c r="A41" s="3" t="s">
        <v>14</v>
      </c>
      <c r="B41" s="3" t="s">
        <v>15</v>
      </c>
      <c r="C41" s="240" t="s">
        <v>21</v>
      </c>
      <c r="D41" s="240"/>
      <c r="E41" s="240"/>
    </row>
    <row r="42" spans="1:5" x14ac:dyDescent="0.25">
      <c r="A42" s="2" t="s">
        <v>117</v>
      </c>
      <c r="B42" s="2" t="s">
        <v>117</v>
      </c>
      <c r="C42" s="236" t="s">
        <v>133</v>
      </c>
      <c r="D42" s="237"/>
      <c r="E42" s="238"/>
    </row>
    <row r="45" spans="1:5" x14ac:dyDescent="0.25">
      <c r="A45" s="54" t="s">
        <v>126</v>
      </c>
      <c r="B45" s="239" t="s">
        <v>17</v>
      </c>
      <c r="C45" s="239"/>
      <c r="D45" s="1" t="s">
        <v>18</v>
      </c>
      <c r="E45" s="2" t="s">
        <v>147</v>
      </c>
    </row>
    <row r="46" spans="1:5" x14ac:dyDescent="0.25">
      <c r="A46" s="236" t="s">
        <v>148</v>
      </c>
      <c r="B46" s="237"/>
      <c r="C46" s="238"/>
      <c r="D46" s="240" t="s">
        <v>19</v>
      </c>
      <c r="E46" s="240"/>
    </row>
    <row r="47" spans="1:5" x14ac:dyDescent="0.25">
      <c r="A47" s="241">
        <v>1395</v>
      </c>
      <c r="B47" s="242"/>
      <c r="C47" s="3" t="s">
        <v>3</v>
      </c>
      <c r="D47" s="1" t="s">
        <v>4</v>
      </c>
      <c r="E47" s="4">
        <v>45950</v>
      </c>
    </row>
    <row r="48" spans="1:5" x14ac:dyDescent="0.25">
      <c r="A48" s="236" t="s">
        <v>150</v>
      </c>
      <c r="B48" s="237"/>
      <c r="C48" s="238"/>
      <c r="D48" s="243" t="s">
        <v>20</v>
      </c>
      <c r="E48" s="243"/>
    </row>
    <row r="49" spans="1:5" ht="25.5" x14ac:dyDescent="0.25">
      <c r="A49" s="5" t="s">
        <v>6</v>
      </c>
      <c r="B49" s="5" t="s">
        <v>7</v>
      </c>
      <c r="C49" s="244" t="s">
        <v>8</v>
      </c>
      <c r="D49" s="245"/>
      <c r="E49" s="6" t="s">
        <v>9</v>
      </c>
    </row>
    <row r="50" spans="1:5" x14ac:dyDescent="0.25">
      <c r="A50" s="2"/>
      <c r="B50" s="2"/>
      <c r="C50" s="236" t="s">
        <v>149</v>
      </c>
      <c r="D50" s="238"/>
      <c r="E50" s="7">
        <v>1397</v>
      </c>
    </row>
    <row r="51" spans="1:5" x14ac:dyDescent="0.25">
      <c r="A51" s="2"/>
      <c r="B51" s="2"/>
      <c r="C51" s="236" t="s">
        <v>129</v>
      </c>
      <c r="D51" s="238"/>
      <c r="E51" s="7">
        <v>-2</v>
      </c>
    </row>
    <row r="52" spans="1:5" x14ac:dyDescent="0.25">
      <c r="A52" s="2"/>
      <c r="B52" s="2"/>
      <c r="C52" s="236"/>
      <c r="D52" s="238"/>
      <c r="E52" s="7"/>
    </row>
    <row r="53" spans="1:5" x14ac:dyDescent="0.25">
      <c r="A53" s="3" t="s">
        <v>10</v>
      </c>
      <c r="B53" s="3" t="s">
        <v>11</v>
      </c>
      <c r="C53" s="8"/>
      <c r="D53" s="9" t="s">
        <v>12</v>
      </c>
      <c r="E53" s="10">
        <f>SUM(E50:E51)</f>
        <v>1395</v>
      </c>
    </row>
    <row r="54" spans="1:5" x14ac:dyDescent="0.25">
      <c r="A54" s="2"/>
      <c r="B54" s="2"/>
      <c r="C54" s="3"/>
      <c r="D54" s="1" t="s">
        <v>13</v>
      </c>
      <c r="E54" s="2" t="s">
        <v>124</v>
      </c>
    </row>
    <row r="55" spans="1:5" x14ac:dyDescent="0.25">
      <c r="A55" s="3" t="s">
        <v>14</v>
      </c>
      <c r="B55" s="3" t="s">
        <v>15</v>
      </c>
      <c r="C55" s="240" t="s">
        <v>21</v>
      </c>
      <c r="D55" s="240"/>
      <c r="E55" s="240"/>
    </row>
    <row r="56" spans="1:5" x14ac:dyDescent="0.25">
      <c r="A56" s="2" t="s">
        <v>117</v>
      </c>
      <c r="B56" s="2" t="s">
        <v>117</v>
      </c>
      <c r="C56" s="236" t="s">
        <v>148</v>
      </c>
      <c r="D56" s="237"/>
      <c r="E56" s="238"/>
    </row>
    <row r="58" spans="1:5" x14ac:dyDescent="0.25">
      <c r="A58" s="54" t="s">
        <v>126</v>
      </c>
      <c r="B58" s="239" t="s">
        <v>17</v>
      </c>
      <c r="C58" s="239"/>
      <c r="D58" s="1" t="s">
        <v>18</v>
      </c>
      <c r="E58" s="2" t="s">
        <v>161</v>
      </c>
    </row>
    <row r="59" spans="1:5" x14ac:dyDescent="0.25">
      <c r="A59" s="236" t="s">
        <v>217</v>
      </c>
      <c r="B59" s="237"/>
      <c r="C59" s="238"/>
      <c r="D59" s="240" t="s">
        <v>19</v>
      </c>
      <c r="E59" s="240"/>
    </row>
    <row r="60" spans="1:5" x14ac:dyDescent="0.25">
      <c r="A60" s="247">
        <v>105105</v>
      </c>
      <c r="B60" s="248"/>
      <c r="C60" s="3" t="s">
        <v>3</v>
      </c>
      <c r="D60" s="1" t="s">
        <v>4</v>
      </c>
      <c r="E60" s="4">
        <v>45951</v>
      </c>
    </row>
    <row r="61" spans="1:5" x14ac:dyDescent="0.25">
      <c r="A61" s="236" t="s">
        <v>216</v>
      </c>
      <c r="B61" s="237"/>
      <c r="C61" s="238"/>
      <c r="D61" s="243" t="s">
        <v>20</v>
      </c>
      <c r="E61" s="243"/>
    </row>
    <row r="62" spans="1:5" ht="25.5" x14ac:dyDescent="0.25">
      <c r="A62" s="5" t="s">
        <v>6</v>
      </c>
      <c r="B62" s="5" t="s">
        <v>7</v>
      </c>
      <c r="C62" s="244" t="s">
        <v>8</v>
      </c>
      <c r="D62" s="245"/>
      <c r="E62" s="6" t="s">
        <v>9</v>
      </c>
    </row>
    <row r="63" spans="1:5" x14ac:dyDescent="0.25">
      <c r="A63" s="2"/>
      <c r="B63" s="2"/>
      <c r="C63" s="236" t="s">
        <v>215</v>
      </c>
      <c r="D63" s="238"/>
      <c r="E63" s="7">
        <v>105105</v>
      </c>
    </row>
    <row r="64" spans="1:5" x14ac:dyDescent="0.25">
      <c r="A64" s="2"/>
      <c r="B64" s="2"/>
      <c r="C64" s="236"/>
      <c r="D64" s="238"/>
      <c r="E64" s="7"/>
    </row>
    <row r="65" spans="1:5" x14ac:dyDescent="0.25">
      <c r="A65" s="2"/>
      <c r="B65" s="2"/>
      <c r="C65" s="236"/>
      <c r="D65" s="238"/>
      <c r="E65" s="7"/>
    </row>
    <row r="66" spans="1:5" x14ac:dyDescent="0.25">
      <c r="A66" s="3" t="s">
        <v>10</v>
      </c>
      <c r="B66" s="3" t="s">
        <v>11</v>
      </c>
      <c r="C66" s="8"/>
      <c r="D66" s="9" t="s">
        <v>12</v>
      </c>
      <c r="E66" s="10">
        <f>SUM(E63:E64)</f>
        <v>105105</v>
      </c>
    </row>
    <row r="67" spans="1:5" x14ac:dyDescent="0.25">
      <c r="A67" s="2"/>
      <c r="B67" s="2"/>
      <c r="C67" s="3"/>
      <c r="D67" s="1" t="s">
        <v>13</v>
      </c>
      <c r="E67" s="2" t="s">
        <v>124</v>
      </c>
    </row>
    <row r="68" spans="1:5" x14ac:dyDescent="0.25">
      <c r="A68" s="3" t="s">
        <v>14</v>
      </c>
      <c r="B68" s="3" t="s">
        <v>15</v>
      </c>
      <c r="C68" s="240" t="s">
        <v>21</v>
      </c>
      <c r="D68" s="240"/>
      <c r="E68" s="240"/>
    </row>
    <row r="69" spans="1:5" x14ac:dyDescent="0.25">
      <c r="A69" s="2" t="s">
        <v>117</v>
      </c>
      <c r="B69" s="2" t="s">
        <v>117</v>
      </c>
      <c r="C69" s="236" t="s">
        <v>217</v>
      </c>
      <c r="D69" s="237"/>
      <c r="E69" s="238"/>
    </row>
    <row r="72" spans="1:5" x14ac:dyDescent="0.25">
      <c r="A72" s="54" t="s">
        <v>118</v>
      </c>
      <c r="B72" s="239" t="s">
        <v>17</v>
      </c>
      <c r="C72" s="239"/>
      <c r="D72" s="1" t="s">
        <v>18</v>
      </c>
      <c r="E72" s="2" t="s">
        <v>163</v>
      </c>
    </row>
    <row r="73" spans="1:5" x14ac:dyDescent="0.25">
      <c r="A73" s="236" t="s">
        <v>399</v>
      </c>
      <c r="B73" s="237"/>
      <c r="C73" s="238"/>
      <c r="D73" s="240" t="s">
        <v>19</v>
      </c>
      <c r="E73" s="240"/>
    </row>
    <row r="74" spans="1:5" x14ac:dyDescent="0.25">
      <c r="A74" s="241">
        <v>22000</v>
      </c>
      <c r="B74" s="242"/>
      <c r="C74" s="3" t="s">
        <v>3</v>
      </c>
      <c r="D74" s="1" t="s">
        <v>4</v>
      </c>
      <c r="E74" s="4">
        <v>45975</v>
      </c>
    </row>
    <row r="75" spans="1:5" x14ac:dyDescent="0.25">
      <c r="A75" s="236" t="s">
        <v>400</v>
      </c>
      <c r="B75" s="237"/>
      <c r="C75" s="238"/>
      <c r="D75" s="243" t="s">
        <v>20</v>
      </c>
      <c r="E75" s="243"/>
    </row>
    <row r="76" spans="1:5" ht="25.5" x14ac:dyDescent="0.25">
      <c r="A76" s="5" t="s">
        <v>6</v>
      </c>
      <c r="B76" s="5" t="s">
        <v>7</v>
      </c>
      <c r="C76" s="244" t="s">
        <v>8</v>
      </c>
      <c r="D76" s="245"/>
      <c r="E76" s="6" t="s">
        <v>9</v>
      </c>
    </row>
    <row r="77" spans="1:5" x14ac:dyDescent="0.25">
      <c r="A77" s="2"/>
      <c r="B77" s="2"/>
      <c r="C77" s="236" t="s">
        <v>401</v>
      </c>
      <c r="D77" s="238"/>
      <c r="E77" s="7">
        <v>22000</v>
      </c>
    </row>
    <row r="78" spans="1:5" x14ac:dyDescent="0.25">
      <c r="A78" s="2"/>
      <c r="B78" s="2"/>
      <c r="C78" s="236"/>
      <c r="D78" s="238"/>
      <c r="E78" s="7"/>
    </row>
    <row r="79" spans="1:5" x14ac:dyDescent="0.25">
      <c r="A79" s="2"/>
      <c r="B79" s="2"/>
      <c r="C79" s="236"/>
      <c r="D79" s="238"/>
      <c r="E79" s="7"/>
    </row>
    <row r="80" spans="1:5" x14ac:dyDescent="0.25">
      <c r="A80" s="3" t="s">
        <v>10</v>
      </c>
      <c r="B80" s="3" t="s">
        <v>11</v>
      </c>
      <c r="C80" s="8"/>
      <c r="D80" s="9" t="s">
        <v>12</v>
      </c>
      <c r="E80" s="10">
        <f>SUM(E77:E78)</f>
        <v>22000</v>
      </c>
    </row>
    <row r="81" spans="1:5" x14ac:dyDescent="0.25">
      <c r="A81" s="2"/>
      <c r="B81" s="2"/>
      <c r="C81" s="3"/>
      <c r="D81" s="1" t="s">
        <v>13</v>
      </c>
      <c r="E81" s="2" t="s">
        <v>124</v>
      </c>
    </row>
    <row r="82" spans="1:5" x14ac:dyDescent="0.25">
      <c r="A82" s="3" t="s">
        <v>14</v>
      </c>
      <c r="B82" s="3" t="s">
        <v>15</v>
      </c>
      <c r="C82" s="240" t="s">
        <v>21</v>
      </c>
      <c r="D82" s="240"/>
      <c r="E82" s="240"/>
    </row>
    <row r="83" spans="1:5" x14ac:dyDescent="0.25">
      <c r="A83" s="2" t="s">
        <v>117</v>
      </c>
      <c r="B83" s="2" t="s">
        <v>117</v>
      </c>
      <c r="C83" s="236" t="s">
        <v>399</v>
      </c>
      <c r="D83" s="237"/>
      <c r="E83" s="238"/>
    </row>
    <row r="86" spans="1:5" x14ac:dyDescent="0.25">
      <c r="A86" s="54" t="s">
        <v>118</v>
      </c>
      <c r="B86" s="239" t="s">
        <v>17</v>
      </c>
      <c r="C86" s="239"/>
      <c r="D86" s="1" t="s">
        <v>18</v>
      </c>
      <c r="E86" s="2" t="s">
        <v>218</v>
      </c>
    </row>
    <row r="87" spans="1:5" x14ac:dyDescent="0.25">
      <c r="A87" s="236" t="s">
        <v>419</v>
      </c>
      <c r="B87" s="237"/>
      <c r="C87" s="238"/>
      <c r="D87" s="240" t="s">
        <v>19</v>
      </c>
      <c r="E87" s="240"/>
    </row>
    <row r="88" spans="1:5" x14ac:dyDescent="0.25">
      <c r="A88" s="241">
        <v>22100</v>
      </c>
      <c r="B88" s="242"/>
      <c r="C88" s="3" t="s">
        <v>3</v>
      </c>
      <c r="D88" s="1" t="s">
        <v>4</v>
      </c>
      <c r="E88" s="4">
        <v>45975</v>
      </c>
    </row>
    <row r="89" spans="1:5" x14ac:dyDescent="0.25">
      <c r="A89" s="236" t="s">
        <v>420</v>
      </c>
      <c r="B89" s="237"/>
      <c r="C89" s="238"/>
      <c r="D89" s="243" t="s">
        <v>20</v>
      </c>
      <c r="E89" s="243"/>
    </row>
    <row r="90" spans="1:5" ht="25.5" x14ac:dyDescent="0.25">
      <c r="A90" s="5" t="s">
        <v>6</v>
      </c>
      <c r="B90" s="5" t="s">
        <v>7</v>
      </c>
      <c r="C90" s="244" t="s">
        <v>8</v>
      </c>
      <c r="D90" s="245"/>
      <c r="E90" s="6" t="s">
        <v>9</v>
      </c>
    </row>
    <row r="91" spans="1:5" x14ac:dyDescent="0.25">
      <c r="A91" s="2"/>
      <c r="B91" s="2"/>
      <c r="C91" s="236"/>
      <c r="D91" s="238"/>
      <c r="E91" s="7"/>
    </row>
    <row r="92" spans="1:5" x14ac:dyDescent="0.25">
      <c r="A92" s="2"/>
      <c r="B92" s="2"/>
      <c r="C92" s="236"/>
      <c r="D92" s="238"/>
      <c r="E92" s="7"/>
    </row>
    <row r="93" spans="1:5" x14ac:dyDescent="0.25">
      <c r="A93" s="2"/>
      <c r="B93" s="2"/>
      <c r="C93" s="236"/>
      <c r="D93" s="238"/>
      <c r="E93" s="7"/>
    </row>
    <row r="94" spans="1:5" x14ac:dyDescent="0.25">
      <c r="A94" s="3" t="s">
        <v>10</v>
      </c>
      <c r="B94" s="3" t="s">
        <v>11</v>
      </c>
      <c r="C94" s="8"/>
      <c r="D94" s="9" t="s">
        <v>12</v>
      </c>
      <c r="E94" s="10">
        <f>SUM(E91:E92)</f>
        <v>0</v>
      </c>
    </row>
    <row r="95" spans="1:5" x14ac:dyDescent="0.25">
      <c r="A95" s="2"/>
      <c r="B95" s="2"/>
      <c r="C95" s="3"/>
      <c r="D95" s="1" t="s">
        <v>13</v>
      </c>
      <c r="E95" s="2" t="s">
        <v>124</v>
      </c>
    </row>
    <row r="96" spans="1:5" x14ac:dyDescent="0.25">
      <c r="A96" s="3" t="s">
        <v>14</v>
      </c>
      <c r="B96" s="3" t="s">
        <v>15</v>
      </c>
      <c r="C96" s="240" t="s">
        <v>21</v>
      </c>
      <c r="D96" s="240"/>
      <c r="E96" s="240"/>
    </row>
    <row r="97" spans="1:5" x14ac:dyDescent="0.25">
      <c r="A97" s="2" t="s">
        <v>117</v>
      </c>
      <c r="B97" s="2" t="s">
        <v>117</v>
      </c>
      <c r="C97" s="236" t="s">
        <v>419</v>
      </c>
      <c r="D97" s="237"/>
      <c r="E97" s="238"/>
    </row>
    <row r="100" spans="1:5" x14ac:dyDescent="0.25">
      <c r="A100" s="54" t="s">
        <v>118</v>
      </c>
      <c r="B100" s="239" t="s">
        <v>17</v>
      </c>
      <c r="C100" s="239"/>
      <c r="D100" s="1" t="s">
        <v>18</v>
      </c>
      <c r="E100" s="2"/>
    </row>
    <row r="101" spans="1:5" x14ac:dyDescent="0.25">
      <c r="A101" s="236"/>
      <c r="B101" s="237"/>
      <c r="C101" s="238"/>
      <c r="D101" s="240" t="s">
        <v>19</v>
      </c>
      <c r="E101" s="240"/>
    </row>
    <row r="102" spans="1:5" x14ac:dyDescent="0.25">
      <c r="A102" s="241"/>
      <c r="B102" s="242"/>
      <c r="C102" s="3" t="s">
        <v>3</v>
      </c>
      <c r="D102" s="1" t="s">
        <v>4</v>
      </c>
      <c r="E102" s="4"/>
    </row>
    <row r="103" spans="1:5" x14ac:dyDescent="0.25">
      <c r="A103" s="236"/>
      <c r="B103" s="237"/>
      <c r="C103" s="238"/>
      <c r="D103" s="243" t="s">
        <v>20</v>
      </c>
      <c r="E103" s="243"/>
    </row>
    <row r="104" spans="1:5" ht="25.5" x14ac:dyDescent="0.25">
      <c r="A104" s="5" t="s">
        <v>6</v>
      </c>
      <c r="B104" s="5" t="s">
        <v>7</v>
      </c>
      <c r="C104" s="244" t="s">
        <v>8</v>
      </c>
      <c r="D104" s="245"/>
      <c r="E104" s="6" t="s">
        <v>9</v>
      </c>
    </row>
    <row r="105" spans="1:5" x14ac:dyDescent="0.25">
      <c r="A105" s="2"/>
      <c r="B105" s="2"/>
      <c r="C105" s="236"/>
      <c r="D105" s="238"/>
      <c r="E105" s="7"/>
    </row>
    <row r="106" spans="1:5" x14ac:dyDescent="0.25">
      <c r="A106" s="2"/>
      <c r="B106" s="2"/>
      <c r="C106" s="236"/>
      <c r="D106" s="238"/>
      <c r="E106" s="7"/>
    </row>
    <row r="107" spans="1:5" x14ac:dyDescent="0.25">
      <c r="A107" s="2"/>
      <c r="B107" s="2"/>
      <c r="C107" s="236"/>
      <c r="D107" s="238"/>
      <c r="E107" s="7"/>
    </row>
    <row r="108" spans="1:5" x14ac:dyDescent="0.25">
      <c r="A108" s="3" t="s">
        <v>10</v>
      </c>
      <c r="B108" s="3" t="s">
        <v>11</v>
      </c>
      <c r="C108" s="8"/>
      <c r="D108" s="9" t="s">
        <v>12</v>
      </c>
      <c r="E108" s="10">
        <f>SUM(E105:E106)</f>
        <v>0</v>
      </c>
    </row>
    <row r="109" spans="1:5" x14ac:dyDescent="0.25">
      <c r="A109" s="2"/>
      <c r="B109" s="2"/>
      <c r="C109" s="3"/>
      <c r="D109" s="1" t="s">
        <v>13</v>
      </c>
      <c r="E109" s="2"/>
    </row>
    <row r="110" spans="1:5" x14ac:dyDescent="0.25">
      <c r="A110" s="3" t="s">
        <v>14</v>
      </c>
      <c r="B110" s="3" t="s">
        <v>15</v>
      </c>
      <c r="C110" s="240" t="s">
        <v>21</v>
      </c>
      <c r="D110" s="240"/>
      <c r="E110" s="240"/>
    </row>
    <row r="111" spans="1:5" x14ac:dyDescent="0.25">
      <c r="A111" s="2" t="s">
        <v>117</v>
      </c>
      <c r="B111" s="2" t="s">
        <v>117</v>
      </c>
      <c r="C111" s="236"/>
      <c r="D111" s="237"/>
      <c r="E111" s="238"/>
    </row>
    <row r="113" spans="1:5" x14ac:dyDescent="0.25">
      <c r="A113" s="54" t="s">
        <v>118</v>
      </c>
      <c r="B113" s="239" t="s">
        <v>17</v>
      </c>
      <c r="C113" s="239"/>
      <c r="D113" s="1" t="s">
        <v>18</v>
      </c>
      <c r="E113" s="2"/>
    </row>
    <row r="114" spans="1:5" x14ac:dyDescent="0.25">
      <c r="A114" s="236"/>
      <c r="B114" s="237"/>
      <c r="C114" s="238"/>
      <c r="D114" s="240" t="s">
        <v>19</v>
      </c>
      <c r="E114" s="240"/>
    </row>
    <row r="115" spans="1:5" x14ac:dyDescent="0.25">
      <c r="A115" s="241"/>
      <c r="B115" s="242"/>
      <c r="C115" s="3" t="s">
        <v>3</v>
      </c>
      <c r="D115" s="1" t="s">
        <v>4</v>
      </c>
      <c r="E115" s="4"/>
    </row>
    <row r="116" spans="1:5" x14ac:dyDescent="0.25">
      <c r="A116" s="236"/>
      <c r="B116" s="237"/>
      <c r="C116" s="238"/>
      <c r="D116" s="243" t="s">
        <v>20</v>
      </c>
      <c r="E116" s="243"/>
    </row>
    <row r="117" spans="1:5" ht="25.5" x14ac:dyDescent="0.25">
      <c r="A117" s="5" t="s">
        <v>6</v>
      </c>
      <c r="B117" s="5" t="s">
        <v>7</v>
      </c>
      <c r="C117" s="244" t="s">
        <v>8</v>
      </c>
      <c r="D117" s="245"/>
      <c r="E117" s="6" t="s">
        <v>9</v>
      </c>
    </row>
    <row r="118" spans="1:5" x14ac:dyDescent="0.25">
      <c r="A118" s="2"/>
      <c r="B118" s="2"/>
      <c r="C118" s="236"/>
      <c r="D118" s="238"/>
      <c r="E118" s="7"/>
    </row>
    <row r="119" spans="1:5" x14ac:dyDescent="0.25">
      <c r="A119" s="2"/>
      <c r="B119" s="2"/>
      <c r="C119" s="236"/>
      <c r="D119" s="238"/>
      <c r="E119" s="7"/>
    </row>
    <row r="120" spans="1:5" x14ac:dyDescent="0.25">
      <c r="A120" s="2"/>
      <c r="B120" s="2"/>
      <c r="C120" s="236"/>
      <c r="D120" s="238"/>
      <c r="E120" s="7"/>
    </row>
    <row r="121" spans="1:5" x14ac:dyDescent="0.25">
      <c r="A121" s="3" t="s">
        <v>10</v>
      </c>
      <c r="B121" s="3" t="s">
        <v>11</v>
      </c>
      <c r="C121" s="8"/>
      <c r="D121" s="9" t="s">
        <v>12</v>
      </c>
      <c r="E121" s="10">
        <f>SUM(E118:E119)</f>
        <v>0</v>
      </c>
    </row>
    <row r="122" spans="1:5" x14ac:dyDescent="0.25">
      <c r="A122" s="2"/>
      <c r="B122" s="2"/>
      <c r="C122" s="3"/>
      <c r="D122" s="1" t="s">
        <v>13</v>
      </c>
      <c r="E122" s="2"/>
    </row>
    <row r="123" spans="1:5" x14ac:dyDescent="0.25">
      <c r="A123" s="3" t="s">
        <v>14</v>
      </c>
      <c r="B123" s="3" t="s">
        <v>15</v>
      </c>
      <c r="C123" s="240" t="s">
        <v>21</v>
      </c>
      <c r="D123" s="240"/>
      <c r="E123" s="240"/>
    </row>
    <row r="124" spans="1:5" x14ac:dyDescent="0.25">
      <c r="A124" s="2" t="s">
        <v>117</v>
      </c>
      <c r="B124" s="2" t="s">
        <v>117</v>
      </c>
      <c r="C124" s="236"/>
      <c r="D124" s="237"/>
      <c r="E124" s="238"/>
    </row>
  </sheetData>
  <mergeCells count="108">
    <mergeCell ref="C65:D65"/>
    <mergeCell ref="C68:E68"/>
    <mergeCell ref="C69:E69"/>
    <mergeCell ref="A60:B60"/>
    <mergeCell ref="A61:C61"/>
    <mergeCell ref="D61:E61"/>
    <mergeCell ref="C62:D62"/>
    <mergeCell ref="C63:D63"/>
    <mergeCell ref="C50:D50"/>
    <mergeCell ref="C51:D51"/>
    <mergeCell ref="C52:D52"/>
    <mergeCell ref="C55:E55"/>
    <mergeCell ref="C56:E56"/>
    <mergeCell ref="B58:C58"/>
    <mergeCell ref="A59:C59"/>
    <mergeCell ref="D59:E59"/>
    <mergeCell ref="C64:D64"/>
    <mergeCell ref="C41:E41"/>
    <mergeCell ref="C42:E42"/>
    <mergeCell ref="B45:C45"/>
    <mergeCell ref="A46:C46"/>
    <mergeCell ref="D46:E46"/>
    <mergeCell ref="A47:B47"/>
    <mergeCell ref="A48:C48"/>
    <mergeCell ref="D48:E48"/>
    <mergeCell ref="C49:D49"/>
    <mergeCell ref="A32:C32"/>
    <mergeCell ref="D32:E32"/>
    <mergeCell ref="A33:B33"/>
    <mergeCell ref="A34:C34"/>
    <mergeCell ref="D34:E34"/>
    <mergeCell ref="C35:D35"/>
    <mergeCell ref="C36:D36"/>
    <mergeCell ref="C37:D37"/>
    <mergeCell ref="C38:D38"/>
    <mergeCell ref="B17:C17"/>
    <mergeCell ref="A18:C18"/>
    <mergeCell ref="D18:E18"/>
    <mergeCell ref="C12:E12"/>
    <mergeCell ref="C23:D23"/>
    <mergeCell ref="C27:E27"/>
    <mergeCell ref="C28:E28"/>
    <mergeCell ref="B31:C31"/>
    <mergeCell ref="A19:B19"/>
    <mergeCell ref="A20:C20"/>
    <mergeCell ref="D20:E20"/>
    <mergeCell ref="C21:D21"/>
    <mergeCell ref="C22:D22"/>
    <mergeCell ref="C5:D5"/>
    <mergeCell ref="C6:D6"/>
    <mergeCell ref="C7:D7"/>
    <mergeCell ref="C8:D8"/>
    <mergeCell ref="C11:E11"/>
    <mergeCell ref="E6:F6"/>
    <mergeCell ref="B1:C1"/>
    <mergeCell ref="A2:C2"/>
    <mergeCell ref="D2:E2"/>
    <mergeCell ref="A3:B3"/>
    <mergeCell ref="A4:C4"/>
    <mergeCell ref="D4:E4"/>
    <mergeCell ref="C76:D76"/>
    <mergeCell ref="C77:D77"/>
    <mergeCell ref="C78:D78"/>
    <mergeCell ref="C79:D79"/>
    <mergeCell ref="C82:E82"/>
    <mergeCell ref="B72:C72"/>
    <mergeCell ref="A73:C73"/>
    <mergeCell ref="D73:E73"/>
    <mergeCell ref="A74:B74"/>
    <mergeCell ref="A75:C75"/>
    <mergeCell ref="D75:E75"/>
    <mergeCell ref="C93:D93"/>
    <mergeCell ref="C96:E96"/>
    <mergeCell ref="C97:E97"/>
    <mergeCell ref="A89:C89"/>
    <mergeCell ref="D89:E89"/>
    <mergeCell ref="C90:D90"/>
    <mergeCell ref="C91:D91"/>
    <mergeCell ref="C92:D92"/>
    <mergeCell ref="C83:E83"/>
    <mergeCell ref="B86:C86"/>
    <mergeCell ref="A87:C87"/>
    <mergeCell ref="D87:E87"/>
    <mergeCell ref="A88:B88"/>
    <mergeCell ref="C104:D104"/>
    <mergeCell ref="C105:D105"/>
    <mergeCell ref="C106:D106"/>
    <mergeCell ref="C107:D107"/>
    <mergeCell ref="C110:E110"/>
    <mergeCell ref="B100:C100"/>
    <mergeCell ref="A101:C101"/>
    <mergeCell ref="D101:E101"/>
    <mergeCell ref="A102:B102"/>
    <mergeCell ref="A103:C103"/>
    <mergeCell ref="D103:E103"/>
    <mergeCell ref="C120:D120"/>
    <mergeCell ref="C123:E123"/>
    <mergeCell ref="C124:E124"/>
    <mergeCell ref="A116:C116"/>
    <mergeCell ref="D116:E116"/>
    <mergeCell ref="C117:D117"/>
    <mergeCell ref="C118:D118"/>
    <mergeCell ref="C119:D119"/>
    <mergeCell ref="C111:E111"/>
    <mergeCell ref="B113:C113"/>
    <mergeCell ref="A114:C114"/>
    <mergeCell ref="D114:E114"/>
    <mergeCell ref="A115:B1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63"/>
  <sheetViews>
    <sheetView zoomScale="122" workbookViewId="0">
      <selection activeCell="C64" sqref="C64"/>
    </sheetView>
  </sheetViews>
  <sheetFormatPr defaultColWidth="9.140625" defaultRowHeight="11.25" x14ac:dyDescent="0.2"/>
  <cols>
    <col min="1" max="1" width="4.85546875" style="11" bestFit="1" customWidth="1"/>
    <col min="2" max="2" width="8.7109375" style="11" bestFit="1" customWidth="1"/>
    <col min="3" max="3" width="12.5703125" style="11" bestFit="1" customWidth="1"/>
    <col min="4" max="4" width="24.7109375" style="11" customWidth="1"/>
    <col min="5" max="7" width="9.140625" style="11"/>
    <col min="8" max="8" width="2.7109375" style="11" customWidth="1"/>
    <col min="9" max="9" width="9.28515625" style="11" bestFit="1" customWidth="1"/>
    <col min="10" max="10" width="9.140625" style="11" bestFit="1" customWidth="1"/>
    <col min="11" max="11" width="11.140625" style="11" bestFit="1" customWidth="1"/>
    <col min="12" max="13" width="12.5703125" style="11" bestFit="1" customWidth="1"/>
    <col min="14" max="256" width="9.140625" style="11"/>
    <col min="257" max="257" width="4.85546875" style="11" bestFit="1" customWidth="1"/>
    <col min="258" max="258" width="8.7109375" style="11" bestFit="1" customWidth="1"/>
    <col min="259" max="259" width="12.5703125" style="11" bestFit="1" customWidth="1"/>
    <col min="260" max="260" width="24.7109375" style="11" customWidth="1"/>
    <col min="261" max="263" width="9.140625" style="11"/>
    <col min="264" max="264" width="2.7109375" style="11" customWidth="1"/>
    <col min="265" max="265" width="9.28515625" style="11" bestFit="1" customWidth="1"/>
    <col min="266" max="266" width="7.85546875" style="11" bestFit="1" customWidth="1"/>
    <col min="267" max="267" width="11.140625" style="11" bestFit="1" customWidth="1"/>
    <col min="268" max="269" width="12.5703125" style="11" bestFit="1" customWidth="1"/>
    <col min="270" max="512" width="9.140625" style="11"/>
    <col min="513" max="513" width="4.85546875" style="11" bestFit="1" customWidth="1"/>
    <col min="514" max="514" width="8.7109375" style="11" bestFit="1" customWidth="1"/>
    <col min="515" max="515" width="12.5703125" style="11" bestFit="1" customWidth="1"/>
    <col min="516" max="516" width="24.7109375" style="11" customWidth="1"/>
    <col min="517" max="519" width="9.140625" style="11"/>
    <col min="520" max="520" width="2.7109375" style="11" customWidth="1"/>
    <col min="521" max="521" width="9.28515625" style="11" bestFit="1" customWidth="1"/>
    <col min="522" max="522" width="7.85546875" style="11" bestFit="1" customWidth="1"/>
    <col min="523" max="523" width="11.140625" style="11" bestFit="1" customWidth="1"/>
    <col min="524" max="525" width="12.5703125" style="11" bestFit="1" customWidth="1"/>
    <col min="526" max="768" width="9.140625" style="11"/>
    <col min="769" max="769" width="4.85546875" style="11" bestFit="1" customWidth="1"/>
    <col min="770" max="770" width="8.7109375" style="11" bestFit="1" customWidth="1"/>
    <col min="771" max="771" width="12.5703125" style="11" bestFit="1" customWidth="1"/>
    <col min="772" max="772" width="24.7109375" style="11" customWidth="1"/>
    <col min="773" max="775" width="9.140625" style="11"/>
    <col min="776" max="776" width="2.7109375" style="11" customWidth="1"/>
    <col min="777" max="777" width="9.28515625" style="11" bestFit="1" customWidth="1"/>
    <col min="778" max="778" width="7.85546875" style="11" bestFit="1" customWidth="1"/>
    <col min="779" max="779" width="11.140625" style="11" bestFit="1" customWidth="1"/>
    <col min="780" max="781" width="12.5703125" style="11" bestFit="1" customWidth="1"/>
    <col min="782" max="1024" width="9.140625" style="11"/>
    <col min="1025" max="1025" width="4.85546875" style="11" bestFit="1" customWidth="1"/>
    <col min="1026" max="1026" width="8.7109375" style="11" bestFit="1" customWidth="1"/>
    <col min="1027" max="1027" width="12.5703125" style="11" bestFit="1" customWidth="1"/>
    <col min="1028" max="1028" width="24.7109375" style="11" customWidth="1"/>
    <col min="1029" max="1031" width="9.140625" style="11"/>
    <col min="1032" max="1032" width="2.7109375" style="11" customWidth="1"/>
    <col min="1033" max="1033" width="9.28515625" style="11" bestFit="1" customWidth="1"/>
    <col min="1034" max="1034" width="7.85546875" style="11" bestFit="1" customWidth="1"/>
    <col min="1035" max="1035" width="11.140625" style="11" bestFit="1" customWidth="1"/>
    <col min="1036" max="1037" width="12.5703125" style="11" bestFit="1" customWidth="1"/>
    <col min="1038" max="1280" width="9.140625" style="11"/>
    <col min="1281" max="1281" width="4.85546875" style="11" bestFit="1" customWidth="1"/>
    <col min="1282" max="1282" width="8.7109375" style="11" bestFit="1" customWidth="1"/>
    <col min="1283" max="1283" width="12.5703125" style="11" bestFit="1" customWidth="1"/>
    <col min="1284" max="1284" width="24.7109375" style="11" customWidth="1"/>
    <col min="1285" max="1287" width="9.140625" style="11"/>
    <col min="1288" max="1288" width="2.7109375" style="11" customWidth="1"/>
    <col min="1289" max="1289" width="9.28515625" style="11" bestFit="1" customWidth="1"/>
    <col min="1290" max="1290" width="7.85546875" style="11" bestFit="1" customWidth="1"/>
    <col min="1291" max="1291" width="11.140625" style="11" bestFit="1" customWidth="1"/>
    <col min="1292" max="1293" width="12.5703125" style="11" bestFit="1" customWidth="1"/>
    <col min="1294" max="1536" width="9.140625" style="11"/>
    <col min="1537" max="1537" width="4.85546875" style="11" bestFit="1" customWidth="1"/>
    <col min="1538" max="1538" width="8.7109375" style="11" bestFit="1" customWidth="1"/>
    <col min="1539" max="1539" width="12.5703125" style="11" bestFit="1" customWidth="1"/>
    <col min="1540" max="1540" width="24.7109375" style="11" customWidth="1"/>
    <col min="1541" max="1543" width="9.140625" style="11"/>
    <col min="1544" max="1544" width="2.7109375" style="11" customWidth="1"/>
    <col min="1545" max="1545" width="9.28515625" style="11" bestFit="1" customWidth="1"/>
    <col min="1546" max="1546" width="7.85546875" style="11" bestFit="1" customWidth="1"/>
    <col min="1547" max="1547" width="11.140625" style="11" bestFit="1" customWidth="1"/>
    <col min="1548" max="1549" width="12.5703125" style="11" bestFit="1" customWidth="1"/>
    <col min="1550" max="1792" width="9.140625" style="11"/>
    <col min="1793" max="1793" width="4.85546875" style="11" bestFit="1" customWidth="1"/>
    <col min="1794" max="1794" width="8.7109375" style="11" bestFit="1" customWidth="1"/>
    <col min="1795" max="1795" width="12.5703125" style="11" bestFit="1" customWidth="1"/>
    <col min="1796" max="1796" width="24.7109375" style="11" customWidth="1"/>
    <col min="1797" max="1799" width="9.140625" style="11"/>
    <col min="1800" max="1800" width="2.7109375" style="11" customWidth="1"/>
    <col min="1801" max="1801" width="9.28515625" style="11" bestFit="1" customWidth="1"/>
    <col min="1802" max="1802" width="7.85546875" style="11" bestFit="1" customWidth="1"/>
    <col min="1803" max="1803" width="11.140625" style="11" bestFit="1" customWidth="1"/>
    <col min="1804" max="1805" width="12.5703125" style="11" bestFit="1" customWidth="1"/>
    <col min="1806" max="2048" width="9.140625" style="11"/>
    <col min="2049" max="2049" width="4.85546875" style="11" bestFit="1" customWidth="1"/>
    <col min="2050" max="2050" width="8.7109375" style="11" bestFit="1" customWidth="1"/>
    <col min="2051" max="2051" width="12.5703125" style="11" bestFit="1" customWidth="1"/>
    <col min="2052" max="2052" width="24.7109375" style="11" customWidth="1"/>
    <col min="2053" max="2055" width="9.140625" style="11"/>
    <col min="2056" max="2056" width="2.7109375" style="11" customWidth="1"/>
    <col min="2057" max="2057" width="9.28515625" style="11" bestFit="1" customWidth="1"/>
    <col min="2058" max="2058" width="7.85546875" style="11" bestFit="1" customWidth="1"/>
    <col min="2059" max="2059" width="11.140625" style="11" bestFit="1" customWidth="1"/>
    <col min="2060" max="2061" width="12.5703125" style="11" bestFit="1" customWidth="1"/>
    <col min="2062" max="2304" width="9.140625" style="11"/>
    <col min="2305" max="2305" width="4.85546875" style="11" bestFit="1" customWidth="1"/>
    <col min="2306" max="2306" width="8.7109375" style="11" bestFit="1" customWidth="1"/>
    <col min="2307" max="2307" width="12.5703125" style="11" bestFit="1" customWidth="1"/>
    <col min="2308" max="2308" width="24.7109375" style="11" customWidth="1"/>
    <col min="2309" max="2311" width="9.140625" style="11"/>
    <col min="2312" max="2312" width="2.7109375" style="11" customWidth="1"/>
    <col min="2313" max="2313" width="9.28515625" style="11" bestFit="1" customWidth="1"/>
    <col min="2314" max="2314" width="7.85546875" style="11" bestFit="1" customWidth="1"/>
    <col min="2315" max="2315" width="11.140625" style="11" bestFit="1" customWidth="1"/>
    <col min="2316" max="2317" width="12.5703125" style="11" bestFit="1" customWidth="1"/>
    <col min="2318" max="2560" width="9.140625" style="11"/>
    <col min="2561" max="2561" width="4.85546875" style="11" bestFit="1" customWidth="1"/>
    <col min="2562" max="2562" width="8.7109375" style="11" bestFit="1" customWidth="1"/>
    <col min="2563" max="2563" width="12.5703125" style="11" bestFit="1" customWidth="1"/>
    <col min="2564" max="2564" width="24.7109375" style="11" customWidth="1"/>
    <col min="2565" max="2567" width="9.140625" style="11"/>
    <col min="2568" max="2568" width="2.7109375" style="11" customWidth="1"/>
    <col min="2569" max="2569" width="9.28515625" style="11" bestFit="1" customWidth="1"/>
    <col min="2570" max="2570" width="7.85546875" style="11" bestFit="1" customWidth="1"/>
    <col min="2571" max="2571" width="11.140625" style="11" bestFit="1" customWidth="1"/>
    <col min="2572" max="2573" width="12.5703125" style="11" bestFit="1" customWidth="1"/>
    <col min="2574" max="2816" width="9.140625" style="11"/>
    <col min="2817" max="2817" width="4.85546875" style="11" bestFit="1" customWidth="1"/>
    <col min="2818" max="2818" width="8.7109375" style="11" bestFit="1" customWidth="1"/>
    <col min="2819" max="2819" width="12.5703125" style="11" bestFit="1" customWidth="1"/>
    <col min="2820" max="2820" width="24.7109375" style="11" customWidth="1"/>
    <col min="2821" max="2823" width="9.140625" style="11"/>
    <col min="2824" max="2824" width="2.7109375" style="11" customWidth="1"/>
    <col min="2825" max="2825" width="9.28515625" style="11" bestFit="1" customWidth="1"/>
    <col min="2826" max="2826" width="7.85546875" style="11" bestFit="1" customWidth="1"/>
    <col min="2827" max="2827" width="11.140625" style="11" bestFit="1" customWidth="1"/>
    <col min="2828" max="2829" width="12.5703125" style="11" bestFit="1" customWidth="1"/>
    <col min="2830" max="3072" width="9.140625" style="11"/>
    <col min="3073" max="3073" width="4.85546875" style="11" bestFit="1" customWidth="1"/>
    <col min="3074" max="3074" width="8.7109375" style="11" bestFit="1" customWidth="1"/>
    <col min="3075" max="3075" width="12.5703125" style="11" bestFit="1" customWidth="1"/>
    <col min="3076" max="3076" width="24.7109375" style="11" customWidth="1"/>
    <col min="3077" max="3079" width="9.140625" style="11"/>
    <col min="3080" max="3080" width="2.7109375" style="11" customWidth="1"/>
    <col min="3081" max="3081" width="9.28515625" style="11" bestFit="1" customWidth="1"/>
    <col min="3082" max="3082" width="7.85546875" style="11" bestFit="1" customWidth="1"/>
    <col min="3083" max="3083" width="11.140625" style="11" bestFit="1" customWidth="1"/>
    <col min="3084" max="3085" width="12.5703125" style="11" bestFit="1" customWidth="1"/>
    <col min="3086" max="3328" width="9.140625" style="11"/>
    <col min="3329" max="3329" width="4.85546875" style="11" bestFit="1" customWidth="1"/>
    <col min="3330" max="3330" width="8.7109375" style="11" bestFit="1" customWidth="1"/>
    <col min="3331" max="3331" width="12.5703125" style="11" bestFit="1" customWidth="1"/>
    <col min="3332" max="3332" width="24.7109375" style="11" customWidth="1"/>
    <col min="3333" max="3335" width="9.140625" style="11"/>
    <col min="3336" max="3336" width="2.7109375" style="11" customWidth="1"/>
    <col min="3337" max="3337" width="9.28515625" style="11" bestFit="1" customWidth="1"/>
    <col min="3338" max="3338" width="7.85546875" style="11" bestFit="1" customWidth="1"/>
    <col min="3339" max="3339" width="11.140625" style="11" bestFit="1" customWidth="1"/>
    <col min="3340" max="3341" width="12.5703125" style="11" bestFit="1" customWidth="1"/>
    <col min="3342" max="3584" width="9.140625" style="11"/>
    <col min="3585" max="3585" width="4.85546875" style="11" bestFit="1" customWidth="1"/>
    <col min="3586" max="3586" width="8.7109375" style="11" bestFit="1" customWidth="1"/>
    <col min="3587" max="3587" width="12.5703125" style="11" bestFit="1" customWidth="1"/>
    <col min="3588" max="3588" width="24.7109375" style="11" customWidth="1"/>
    <col min="3589" max="3591" width="9.140625" style="11"/>
    <col min="3592" max="3592" width="2.7109375" style="11" customWidth="1"/>
    <col min="3593" max="3593" width="9.28515625" style="11" bestFit="1" customWidth="1"/>
    <col min="3594" max="3594" width="7.85546875" style="11" bestFit="1" customWidth="1"/>
    <col min="3595" max="3595" width="11.140625" style="11" bestFit="1" customWidth="1"/>
    <col min="3596" max="3597" width="12.5703125" style="11" bestFit="1" customWidth="1"/>
    <col min="3598" max="3840" width="9.140625" style="11"/>
    <col min="3841" max="3841" width="4.85546875" style="11" bestFit="1" customWidth="1"/>
    <col min="3842" max="3842" width="8.7109375" style="11" bestFit="1" customWidth="1"/>
    <col min="3843" max="3843" width="12.5703125" style="11" bestFit="1" customWidth="1"/>
    <col min="3844" max="3844" width="24.7109375" style="11" customWidth="1"/>
    <col min="3845" max="3847" width="9.140625" style="11"/>
    <col min="3848" max="3848" width="2.7109375" style="11" customWidth="1"/>
    <col min="3849" max="3849" width="9.28515625" style="11" bestFit="1" customWidth="1"/>
    <col min="3850" max="3850" width="7.85546875" style="11" bestFit="1" customWidth="1"/>
    <col min="3851" max="3851" width="11.140625" style="11" bestFit="1" customWidth="1"/>
    <col min="3852" max="3853" width="12.5703125" style="11" bestFit="1" customWidth="1"/>
    <col min="3854" max="4096" width="9.140625" style="11"/>
    <col min="4097" max="4097" width="4.85546875" style="11" bestFit="1" customWidth="1"/>
    <col min="4098" max="4098" width="8.7109375" style="11" bestFit="1" customWidth="1"/>
    <col min="4099" max="4099" width="12.5703125" style="11" bestFit="1" customWidth="1"/>
    <col min="4100" max="4100" width="24.7109375" style="11" customWidth="1"/>
    <col min="4101" max="4103" width="9.140625" style="11"/>
    <col min="4104" max="4104" width="2.7109375" style="11" customWidth="1"/>
    <col min="4105" max="4105" width="9.28515625" style="11" bestFit="1" customWidth="1"/>
    <col min="4106" max="4106" width="7.85546875" style="11" bestFit="1" customWidth="1"/>
    <col min="4107" max="4107" width="11.140625" style="11" bestFit="1" customWidth="1"/>
    <col min="4108" max="4109" width="12.5703125" style="11" bestFit="1" customWidth="1"/>
    <col min="4110" max="4352" width="9.140625" style="11"/>
    <col min="4353" max="4353" width="4.85546875" style="11" bestFit="1" customWidth="1"/>
    <col min="4354" max="4354" width="8.7109375" style="11" bestFit="1" customWidth="1"/>
    <col min="4355" max="4355" width="12.5703125" style="11" bestFit="1" customWidth="1"/>
    <col min="4356" max="4356" width="24.7109375" style="11" customWidth="1"/>
    <col min="4357" max="4359" width="9.140625" style="11"/>
    <col min="4360" max="4360" width="2.7109375" style="11" customWidth="1"/>
    <col min="4361" max="4361" width="9.28515625" style="11" bestFit="1" customWidth="1"/>
    <col min="4362" max="4362" width="7.85546875" style="11" bestFit="1" customWidth="1"/>
    <col min="4363" max="4363" width="11.140625" style="11" bestFit="1" customWidth="1"/>
    <col min="4364" max="4365" width="12.5703125" style="11" bestFit="1" customWidth="1"/>
    <col min="4366" max="4608" width="9.140625" style="11"/>
    <col min="4609" max="4609" width="4.85546875" style="11" bestFit="1" customWidth="1"/>
    <col min="4610" max="4610" width="8.7109375" style="11" bestFit="1" customWidth="1"/>
    <col min="4611" max="4611" width="12.5703125" style="11" bestFit="1" customWidth="1"/>
    <col min="4612" max="4612" width="24.7109375" style="11" customWidth="1"/>
    <col min="4613" max="4615" width="9.140625" style="11"/>
    <col min="4616" max="4616" width="2.7109375" style="11" customWidth="1"/>
    <col min="4617" max="4617" width="9.28515625" style="11" bestFit="1" customWidth="1"/>
    <col min="4618" max="4618" width="7.85546875" style="11" bestFit="1" customWidth="1"/>
    <col min="4619" max="4619" width="11.140625" style="11" bestFit="1" customWidth="1"/>
    <col min="4620" max="4621" width="12.5703125" style="11" bestFit="1" customWidth="1"/>
    <col min="4622" max="4864" width="9.140625" style="11"/>
    <col min="4865" max="4865" width="4.85546875" style="11" bestFit="1" customWidth="1"/>
    <col min="4866" max="4866" width="8.7109375" style="11" bestFit="1" customWidth="1"/>
    <col min="4867" max="4867" width="12.5703125" style="11" bestFit="1" customWidth="1"/>
    <col min="4868" max="4868" width="24.7109375" style="11" customWidth="1"/>
    <col min="4869" max="4871" width="9.140625" style="11"/>
    <col min="4872" max="4872" width="2.7109375" style="11" customWidth="1"/>
    <col min="4873" max="4873" width="9.28515625" style="11" bestFit="1" customWidth="1"/>
    <col min="4874" max="4874" width="7.85546875" style="11" bestFit="1" customWidth="1"/>
    <col min="4875" max="4875" width="11.140625" style="11" bestFit="1" customWidth="1"/>
    <col min="4876" max="4877" width="12.5703125" style="11" bestFit="1" customWidth="1"/>
    <col min="4878" max="5120" width="9.140625" style="11"/>
    <col min="5121" max="5121" width="4.85546875" style="11" bestFit="1" customWidth="1"/>
    <col min="5122" max="5122" width="8.7109375" style="11" bestFit="1" customWidth="1"/>
    <col min="5123" max="5123" width="12.5703125" style="11" bestFit="1" customWidth="1"/>
    <col min="5124" max="5124" width="24.7109375" style="11" customWidth="1"/>
    <col min="5125" max="5127" width="9.140625" style="11"/>
    <col min="5128" max="5128" width="2.7109375" style="11" customWidth="1"/>
    <col min="5129" max="5129" width="9.28515625" style="11" bestFit="1" customWidth="1"/>
    <col min="5130" max="5130" width="7.85546875" style="11" bestFit="1" customWidth="1"/>
    <col min="5131" max="5131" width="11.140625" style="11" bestFit="1" customWidth="1"/>
    <col min="5132" max="5133" width="12.5703125" style="11" bestFit="1" customWidth="1"/>
    <col min="5134" max="5376" width="9.140625" style="11"/>
    <col min="5377" max="5377" width="4.85546875" style="11" bestFit="1" customWidth="1"/>
    <col min="5378" max="5378" width="8.7109375" style="11" bestFit="1" customWidth="1"/>
    <col min="5379" max="5379" width="12.5703125" style="11" bestFit="1" customWidth="1"/>
    <col min="5380" max="5380" width="24.7109375" style="11" customWidth="1"/>
    <col min="5381" max="5383" width="9.140625" style="11"/>
    <col min="5384" max="5384" width="2.7109375" style="11" customWidth="1"/>
    <col min="5385" max="5385" width="9.28515625" style="11" bestFit="1" customWidth="1"/>
    <col min="5386" max="5386" width="7.85546875" style="11" bestFit="1" customWidth="1"/>
    <col min="5387" max="5387" width="11.140625" style="11" bestFit="1" customWidth="1"/>
    <col min="5388" max="5389" width="12.5703125" style="11" bestFit="1" customWidth="1"/>
    <col min="5390" max="5632" width="9.140625" style="11"/>
    <col min="5633" max="5633" width="4.85546875" style="11" bestFit="1" customWidth="1"/>
    <col min="5634" max="5634" width="8.7109375" style="11" bestFit="1" customWidth="1"/>
    <col min="5635" max="5635" width="12.5703125" style="11" bestFit="1" customWidth="1"/>
    <col min="5636" max="5636" width="24.7109375" style="11" customWidth="1"/>
    <col min="5637" max="5639" width="9.140625" style="11"/>
    <col min="5640" max="5640" width="2.7109375" style="11" customWidth="1"/>
    <col min="5641" max="5641" width="9.28515625" style="11" bestFit="1" customWidth="1"/>
    <col min="5642" max="5642" width="7.85546875" style="11" bestFit="1" customWidth="1"/>
    <col min="5643" max="5643" width="11.140625" style="11" bestFit="1" customWidth="1"/>
    <col min="5644" max="5645" width="12.5703125" style="11" bestFit="1" customWidth="1"/>
    <col min="5646" max="5888" width="9.140625" style="11"/>
    <col min="5889" max="5889" width="4.85546875" style="11" bestFit="1" customWidth="1"/>
    <col min="5890" max="5890" width="8.7109375" style="11" bestFit="1" customWidth="1"/>
    <col min="5891" max="5891" width="12.5703125" style="11" bestFit="1" customWidth="1"/>
    <col min="5892" max="5892" width="24.7109375" style="11" customWidth="1"/>
    <col min="5893" max="5895" width="9.140625" style="11"/>
    <col min="5896" max="5896" width="2.7109375" style="11" customWidth="1"/>
    <col min="5897" max="5897" width="9.28515625" style="11" bestFit="1" customWidth="1"/>
    <col min="5898" max="5898" width="7.85546875" style="11" bestFit="1" customWidth="1"/>
    <col min="5899" max="5899" width="11.140625" style="11" bestFit="1" customWidth="1"/>
    <col min="5900" max="5901" width="12.5703125" style="11" bestFit="1" customWidth="1"/>
    <col min="5902" max="6144" width="9.140625" style="11"/>
    <col min="6145" max="6145" width="4.85546875" style="11" bestFit="1" customWidth="1"/>
    <col min="6146" max="6146" width="8.7109375" style="11" bestFit="1" customWidth="1"/>
    <col min="6147" max="6147" width="12.5703125" style="11" bestFit="1" customWidth="1"/>
    <col min="6148" max="6148" width="24.7109375" style="11" customWidth="1"/>
    <col min="6149" max="6151" width="9.140625" style="11"/>
    <col min="6152" max="6152" width="2.7109375" style="11" customWidth="1"/>
    <col min="6153" max="6153" width="9.28515625" style="11" bestFit="1" customWidth="1"/>
    <col min="6154" max="6154" width="7.85546875" style="11" bestFit="1" customWidth="1"/>
    <col min="6155" max="6155" width="11.140625" style="11" bestFit="1" customWidth="1"/>
    <col min="6156" max="6157" width="12.5703125" style="11" bestFit="1" customWidth="1"/>
    <col min="6158" max="6400" width="9.140625" style="11"/>
    <col min="6401" max="6401" width="4.85546875" style="11" bestFit="1" customWidth="1"/>
    <col min="6402" max="6402" width="8.7109375" style="11" bestFit="1" customWidth="1"/>
    <col min="6403" max="6403" width="12.5703125" style="11" bestFit="1" customWidth="1"/>
    <col min="6404" max="6404" width="24.7109375" style="11" customWidth="1"/>
    <col min="6405" max="6407" width="9.140625" style="11"/>
    <col min="6408" max="6408" width="2.7109375" style="11" customWidth="1"/>
    <col min="6409" max="6409" width="9.28515625" style="11" bestFit="1" customWidth="1"/>
    <col min="6410" max="6410" width="7.85546875" style="11" bestFit="1" customWidth="1"/>
    <col min="6411" max="6411" width="11.140625" style="11" bestFit="1" customWidth="1"/>
    <col min="6412" max="6413" width="12.5703125" style="11" bestFit="1" customWidth="1"/>
    <col min="6414" max="6656" width="9.140625" style="11"/>
    <col min="6657" max="6657" width="4.85546875" style="11" bestFit="1" customWidth="1"/>
    <col min="6658" max="6658" width="8.7109375" style="11" bestFit="1" customWidth="1"/>
    <col min="6659" max="6659" width="12.5703125" style="11" bestFit="1" customWidth="1"/>
    <col min="6660" max="6660" width="24.7109375" style="11" customWidth="1"/>
    <col min="6661" max="6663" width="9.140625" style="11"/>
    <col min="6664" max="6664" width="2.7109375" style="11" customWidth="1"/>
    <col min="6665" max="6665" width="9.28515625" style="11" bestFit="1" customWidth="1"/>
    <col min="6666" max="6666" width="7.85546875" style="11" bestFit="1" customWidth="1"/>
    <col min="6667" max="6667" width="11.140625" style="11" bestFit="1" customWidth="1"/>
    <col min="6668" max="6669" width="12.5703125" style="11" bestFit="1" customWidth="1"/>
    <col min="6670" max="6912" width="9.140625" style="11"/>
    <col min="6913" max="6913" width="4.85546875" style="11" bestFit="1" customWidth="1"/>
    <col min="6914" max="6914" width="8.7109375" style="11" bestFit="1" customWidth="1"/>
    <col min="6915" max="6915" width="12.5703125" style="11" bestFit="1" customWidth="1"/>
    <col min="6916" max="6916" width="24.7109375" style="11" customWidth="1"/>
    <col min="6917" max="6919" width="9.140625" style="11"/>
    <col min="6920" max="6920" width="2.7109375" style="11" customWidth="1"/>
    <col min="6921" max="6921" width="9.28515625" style="11" bestFit="1" customWidth="1"/>
    <col min="6922" max="6922" width="7.85546875" style="11" bestFit="1" customWidth="1"/>
    <col min="6923" max="6923" width="11.140625" style="11" bestFit="1" customWidth="1"/>
    <col min="6924" max="6925" width="12.5703125" style="11" bestFit="1" customWidth="1"/>
    <col min="6926" max="7168" width="9.140625" style="11"/>
    <col min="7169" max="7169" width="4.85546875" style="11" bestFit="1" customWidth="1"/>
    <col min="7170" max="7170" width="8.7109375" style="11" bestFit="1" customWidth="1"/>
    <col min="7171" max="7171" width="12.5703125" style="11" bestFit="1" customWidth="1"/>
    <col min="7172" max="7172" width="24.7109375" style="11" customWidth="1"/>
    <col min="7173" max="7175" width="9.140625" style="11"/>
    <col min="7176" max="7176" width="2.7109375" style="11" customWidth="1"/>
    <col min="7177" max="7177" width="9.28515625" style="11" bestFit="1" customWidth="1"/>
    <col min="7178" max="7178" width="7.85546875" style="11" bestFit="1" customWidth="1"/>
    <col min="7179" max="7179" width="11.140625" style="11" bestFit="1" customWidth="1"/>
    <col min="7180" max="7181" width="12.5703125" style="11" bestFit="1" customWidth="1"/>
    <col min="7182" max="7424" width="9.140625" style="11"/>
    <col min="7425" max="7425" width="4.85546875" style="11" bestFit="1" customWidth="1"/>
    <col min="7426" max="7426" width="8.7109375" style="11" bestFit="1" customWidth="1"/>
    <col min="7427" max="7427" width="12.5703125" style="11" bestFit="1" customWidth="1"/>
    <col min="7428" max="7428" width="24.7109375" style="11" customWidth="1"/>
    <col min="7429" max="7431" width="9.140625" style="11"/>
    <col min="7432" max="7432" width="2.7109375" style="11" customWidth="1"/>
    <col min="7433" max="7433" width="9.28515625" style="11" bestFit="1" customWidth="1"/>
    <col min="7434" max="7434" width="7.85546875" style="11" bestFit="1" customWidth="1"/>
    <col min="7435" max="7435" width="11.140625" style="11" bestFit="1" customWidth="1"/>
    <col min="7436" max="7437" width="12.5703125" style="11" bestFit="1" customWidth="1"/>
    <col min="7438" max="7680" width="9.140625" style="11"/>
    <col min="7681" max="7681" width="4.85546875" style="11" bestFit="1" customWidth="1"/>
    <col min="7682" max="7682" width="8.7109375" style="11" bestFit="1" customWidth="1"/>
    <col min="7683" max="7683" width="12.5703125" style="11" bestFit="1" customWidth="1"/>
    <col min="7684" max="7684" width="24.7109375" style="11" customWidth="1"/>
    <col min="7685" max="7687" width="9.140625" style="11"/>
    <col min="7688" max="7688" width="2.7109375" style="11" customWidth="1"/>
    <col min="7689" max="7689" width="9.28515625" style="11" bestFit="1" customWidth="1"/>
    <col min="7690" max="7690" width="7.85546875" style="11" bestFit="1" customWidth="1"/>
    <col min="7691" max="7691" width="11.140625" style="11" bestFit="1" customWidth="1"/>
    <col min="7692" max="7693" width="12.5703125" style="11" bestFit="1" customWidth="1"/>
    <col min="7694" max="7936" width="9.140625" style="11"/>
    <col min="7937" max="7937" width="4.85546875" style="11" bestFit="1" customWidth="1"/>
    <col min="7938" max="7938" width="8.7109375" style="11" bestFit="1" customWidth="1"/>
    <col min="7939" max="7939" width="12.5703125" style="11" bestFit="1" customWidth="1"/>
    <col min="7940" max="7940" width="24.7109375" style="11" customWidth="1"/>
    <col min="7941" max="7943" width="9.140625" style="11"/>
    <col min="7944" max="7944" width="2.7109375" style="11" customWidth="1"/>
    <col min="7945" max="7945" width="9.28515625" style="11" bestFit="1" customWidth="1"/>
    <col min="7946" max="7946" width="7.85546875" style="11" bestFit="1" customWidth="1"/>
    <col min="7947" max="7947" width="11.140625" style="11" bestFit="1" customWidth="1"/>
    <col min="7948" max="7949" width="12.5703125" style="11" bestFit="1" customWidth="1"/>
    <col min="7950" max="8192" width="9.140625" style="11"/>
    <col min="8193" max="8193" width="4.85546875" style="11" bestFit="1" customWidth="1"/>
    <col min="8194" max="8194" width="8.7109375" style="11" bestFit="1" customWidth="1"/>
    <col min="8195" max="8195" width="12.5703125" style="11" bestFit="1" customWidth="1"/>
    <col min="8196" max="8196" width="24.7109375" style="11" customWidth="1"/>
    <col min="8197" max="8199" width="9.140625" style="11"/>
    <col min="8200" max="8200" width="2.7109375" style="11" customWidth="1"/>
    <col min="8201" max="8201" width="9.28515625" style="11" bestFit="1" customWidth="1"/>
    <col min="8202" max="8202" width="7.85546875" style="11" bestFit="1" customWidth="1"/>
    <col min="8203" max="8203" width="11.140625" style="11" bestFit="1" customWidth="1"/>
    <col min="8204" max="8205" width="12.5703125" style="11" bestFit="1" customWidth="1"/>
    <col min="8206" max="8448" width="9.140625" style="11"/>
    <col min="8449" max="8449" width="4.85546875" style="11" bestFit="1" customWidth="1"/>
    <col min="8450" max="8450" width="8.7109375" style="11" bestFit="1" customWidth="1"/>
    <col min="8451" max="8451" width="12.5703125" style="11" bestFit="1" customWidth="1"/>
    <col min="8452" max="8452" width="24.7109375" style="11" customWidth="1"/>
    <col min="8453" max="8455" width="9.140625" style="11"/>
    <col min="8456" max="8456" width="2.7109375" style="11" customWidth="1"/>
    <col min="8457" max="8457" width="9.28515625" style="11" bestFit="1" customWidth="1"/>
    <col min="8458" max="8458" width="7.85546875" style="11" bestFit="1" customWidth="1"/>
    <col min="8459" max="8459" width="11.140625" style="11" bestFit="1" customWidth="1"/>
    <col min="8460" max="8461" width="12.5703125" style="11" bestFit="1" customWidth="1"/>
    <col min="8462" max="8704" width="9.140625" style="11"/>
    <col min="8705" max="8705" width="4.85546875" style="11" bestFit="1" customWidth="1"/>
    <col min="8706" max="8706" width="8.7109375" style="11" bestFit="1" customWidth="1"/>
    <col min="8707" max="8707" width="12.5703125" style="11" bestFit="1" customWidth="1"/>
    <col min="8708" max="8708" width="24.7109375" style="11" customWidth="1"/>
    <col min="8709" max="8711" width="9.140625" style="11"/>
    <col min="8712" max="8712" width="2.7109375" style="11" customWidth="1"/>
    <col min="8713" max="8713" width="9.28515625" style="11" bestFit="1" customWidth="1"/>
    <col min="8714" max="8714" width="7.85546875" style="11" bestFit="1" customWidth="1"/>
    <col min="8715" max="8715" width="11.140625" style="11" bestFit="1" customWidth="1"/>
    <col min="8716" max="8717" width="12.5703125" style="11" bestFit="1" customWidth="1"/>
    <col min="8718" max="8960" width="9.140625" style="11"/>
    <col min="8961" max="8961" width="4.85546875" style="11" bestFit="1" customWidth="1"/>
    <col min="8962" max="8962" width="8.7109375" style="11" bestFit="1" customWidth="1"/>
    <col min="8963" max="8963" width="12.5703125" style="11" bestFit="1" customWidth="1"/>
    <col min="8964" max="8964" width="24.7109375" style="11" customWidth="1"/>
    <col min="8965" max="8967" width="9.140625" style="11"/>
    <col min="8968" max="8968" width="2.7109375" style="11" customWidth="1"/>
    <col min="8969" max="8969" width="9.28515625" style="11" bestFit="1" customWidth="1"/>
    <col min="8970" max="8970" width="7.85546875" style="11" bestFit="1" customWidth="1"/>
    <col min="8971" max="8971" width="11.140625" style="11" bestFit="1" customWidth="1"/>
    <col min="8972" max="8973" width="12.5703125" style="11" bestFit="1" customWidth="1"/>
    <col min="8974" max="9216" width="9.140625" style="11"/>
    <col min="9217" max="9217" width="4.85546875" style="11" bestFit="1" customWidth="1"/>
    <col min="9218" max="9218" width="8.7109375" style="11" bestFit="1" customWidth="1"/>
    <col min="9219" max="9219" width="12.5703125" style="11" bestFit="1" customWidth="1"/>
    <col min="9220" max="9220" width="24.7109375" style="11" customWidth="1"/>
    <col min="9221" max="9223" width="9.140625" style="11"/>
    <col min="9224" max="9224" width="2.7109375" style="11" customWidth="1"/>
    <col min="9225" max="9225" width="9.28515625" style="11" bestFit="1" customWidth="1"/>
    <col min="9226" max="9226" width="7.85546875" style="11" bestFit="1" customWidth="1"/>
    <col min="9227" max="9227" width="11.140625" style="11" bestFit="1" customWidth="1"/>
    <col min="9228" max="9229" width="12.5703125" style="11" bestFit="1" customWidth="1"/>
    <col min="9230" max="9472" width="9.140625" style="11"/>
    <col min="9473" max="9473" width="4.85546875" style="11" bestFit="1" customWidth="1"/>
    <col min="9474" max="9474" width="8.7109375" style="11" bestFit="1" customWidth="1"/>
    <col min="9475" max="9475" width="12.5703125" style="11" bestFit="1" customWidth="1"/>
    <col min="9476" max="9476" width="24.7109375" style="11" customWidth="1"/>
    <col min="9477" max="9479" width="9.140625" style="11"/>
    <col min="9480" max="9480" width="2.7109375" style="11" customWidth="1"/>
    <col min="9481" max="9481" width="9.28515625" style="11" bestFit="1" customWidth="1"/>
    <col min="9482" max="9482" width="7.85546875" style="11" bestFit="1" customWidth="1"/>
    <col min="9483" max="9483" width="11.140625" style="11" bestFit="1" customWidth="1"/>
    <col min="9484" max="9485" width="12.5703125" style="11" bestFit="1" customWidth="1"/>
    <col min="9486" max="9728" width="9.140625" style="11"/>
    <col min="9729" max="9729" width="4.85546875" style="11" bestFit="1" customWidth="1"/>
    <col min="9730" max="9730" width="8.7109375" style="11" bestFit="1" customWidth="1"/>
    <col min="9731" max="9731" width="12.5703125" style="11" bestFit="1" customWidth="1"/>
    <col min="9732" max="9732" width="24.7109375" style="11" customWidth="1"/>
    <col min="9733" max="9735" width="9.140625" style="11"/>
    <col min="9736" max="9736" width="2.7109375" style="11" customWidth="1"/>
    <col min="9737" max="9737" width="9.28515625" style="11" bestFit="1" customWidth="1"/>
    <col min="9738" max="9738" width="7.85546875" style="11" bestFit="1" customWidth="1"/>
    <col min="9739" max="9739" width="11.140625" style="11" bestFit="1" customWidth="1"/>
    <col min="9740" max="9741" width="12.5703125" style="11" bestFit="1" customWidth="1"/>
    <col min="9742" max="9984" width="9.140625" style="11"/>
    <col min="9985" max="9985" width="4.85546875" style="11" bestFit="1" customWidth="1"/>
    <col min="9986" max="9986" width="8.7109375" style="11" bestFit="1" customWidth="1"/>
    <col min="9987" max="9987" width="12.5703125" style="11" bestFit="1" customWidth="1"/>
    <col min="9988" max="9988" width="24.7109375" style="11" customWidth="1"/>
    <col min="9989" max="9991" width="9.140625" style="11"/>
    <col min="9992" max="9992" width="2.7109375" style="11" customWidth="1"/>
    <col min="9993" max="9993" width="9.28515625" style="11" bestFit="1" customWidth="1"/>
    <col min="9994" max="9994" width="7.85546875" style="11" bestFit="1" customWidth="1"/>
    <col min="9995" max="9995" width="11.140625" style="11" bestFit="1" customWidth="1"/>
    <col min="9996" max="9997" width="12.5703125" style="11" bestFit="1" customWidth="1"/>
    <col min="9998" max="10240" width="9.140625" style="11"/>
    <col min="10241" max="10241" width="4.85546875" style="11" bestFit="1" customWidth="1"/>
    <col min="10242" max="10242" width="8.7109375" style="11" bestFit="1" customWidth="1"/>
    <col min="10243" max="10243" width="12.5703125" style="11" bestFit="1" customWidth="1"/>
    <col min="10244" max="10244" width="24.7109375" style="11" customWidth="1"/>
    <col min="10245" max="10247" width="9.140625" style="11"/>
    <col min="10248" max="10248" width="2.7109375" style="11" customWidth="1"/>
    <col min="10249" max="10249" width="9.28515625" style="11" bestFit="1" customWidth="1"/>
    <col min="10250" max="10250" width="7.85546875" style="11" bestFit="1" customWidth="1"/>
    <col min="10251" max="10251" width="11.140625" style="11" bestFit="1" customWidth="1"/>
    <col min="10252" max="10253" width="12.5703125" style="11" bestFit="1" customWidth="1"/>
    <col min="10254" max="10496" width="9.140625" style="11"/>
    <col min="10497" max="10497" width="4.85546875" style="11" bestFit="1" customWidth="1"/>
    <col min="10498" max="10498" width="8.7109375" style="11" bestFit="1" customWidth="1"/>
    <col min="10499" max="10499" width="12.5703125" style="11" bestFit="1" customWidth="1"/>
    <col min="10500" max="10500" width="24.7109375" style="11" customWidth="1"/>
    <col min="10501" max="10503" width="9.140625" style="11"/>
    <col min="10504" max="10504" width="2.7109375" style="11" customWidth="1"/>
    <col min="10505" max="10505" width="9.28515625" style="11" bestFit="1" customWidth="1"/>
    <col min="10506" max="10506" width="7.85546875" style="11" bestFit="1" customWidth="1"/>
    <col min="10507" max="10507" width="11.140625" style="11" bestFit="1" customWidth="1"/>
    <col min="10508" max="10509" width="12.5703125" style="11" bestFit="1" customWidth="1"/>
    <col min="10510" max="10752" width="9.140625" style="11"/>
    <col min="10753" max="10753" width="4.85546875" style="11" bestFit="1" customWidth="1"/>
    <col min="10754" max="10754" width="8.7109375" style="11" bestFit="1" customWidth="1"/>
    <col min="10755" max="10755" width="12.5703125" style="11" bestFit="1" customWidth="1"/>
    <col min="10756" max="10756" width="24.7109375" style="11" customWidth="1"/>
    <col min="10757" max="10759" width="9.140625" style="11"/>
    <col min="10760" max="10760" width="2.7109375" style="11" customWidth="1"/>
    <col min="10761" max="10761" width="9.28515625" style="11" bestFit="1" customWidth="1"/>
    <col min="10762" max="10762" width="7.85546875" style="11" bestFit="1" customWidth="1"/>
    <col min="10763" max="10763" width="11.140625" style="11" bestFit="1" customWidth="1"/>
    <col min="10764" max="10765" width="12.5703125" style="11" bestFit="1" customWidth="1"/>
    <col min="10766" max="11008" width="9.140625" style="11"/>
    <col min="11009" max="11009" width="4.85546875" style="11" bestFit="1" customWidth="1"/>
    <col min="11010" max="11010" width="8.7109375" style="11" bestFit="1" customWidth="1"/>
    <col min="11011" max="11011" width="12.5703125" style="11" bestFit="1" customWidth="1"/>
    <col min="11012" max="11012" width="24.7109375" style="11" customWidth="1"/>
    <col min="11013" max="11015" width="9.140625" style="11"/>
    <col min="11016" max="11016" width="2.7109375" style="11" customWidth="1"/>
    <col min="11017" max="11017" width="9.28515625" style="11" bestFit="1" customWidth="1"/>
    <col min="11018" max="11018" width="7.85546875" style="11" bestFit="1" customWidth="1"/>
    <col min="11019" max="11019" width="11.140625" style="11" bestFit="1" customWidth="1"/>
    <col min="11020" max="11021" width="12.5703125" style="11" bestFit="1" customWidth="1"/>
    <col min="11022" max="11264" width="9.140625" style="11"/>
    <col min="11265" max="11265" width="4.85546875" style="11" bestFit="1" customWidth="1"/>
    <col min="11266" max="11266" width="8.7109375" style="11" bestFit="1" customWidth="1"/>
    <col min="11267" max="11267" width="12.5703125" style="11" bestFit="1" customWidth="1"/>
    <col min="11268" max="11268" width="24.7109375" style="11" customWidth="1"/>
    <col min="11269" max="11271" width="9.140625" style="11"/>
    <col min="11272" max="11272" width="2.7109375" style="11" customWidth="1"/>
    <col min="11273" max="11273" width="9.28515625" style="11" bestFit="1" customWidth="1"/>
    <col min="11274" max="11274" width="7.85546875" style="11" bestFit="1" customWidth="1"/>
    <col min="11275" max="11275" width="11.140625" style="11" bestFit="1" customWidth="1"/>
    <col min="11276" max="11277" width="12.5703125" style="11" bestFit="1" customWidth="1"/>
    <col min="11278" max="11520" width="9.140625" style="11"/>
    <col min="11521" max="11521" width="4.85546875" style="11" bestFit="1" customWidth="1"/>
    <col min="11522" max="11522" width="8.7109375" style="11" bestFit="1" customWidth="1"/>
    <col min="11523" max="11523" width="12.5703125" style="11" bestFit="1" customWidth="1"/>
    <col min="11524" max="11524" width="24.7109375" style="11" customWidth="1"/>
    <col min="11525" max="11527" width="9.140625" style="11"/>
    <col min="11528" max="11528" width="2.7109375" style="11" customWidth="1"/>
    <col min="11529" max="11529" width="9.28515625" style="11" bestFit="1" customWidth="1"/>
    <col min="11530" max="11530" width="7.85546875" style="11" bestFit="1" customWidth="1"/>
    <col min="11531" max="11531" width="11.140625" style="11" bestFit="1" customWidth="1"/>
    <col min="11532" max="11533" width="12.5703125" style="11" bestFit="1" customWidth="1"/>
    <col min="11534" max="11776" width="9.140625" style="11"/>
    <col min="11777" max="11777" width="4.85546875" style="11" bestFit="1" customWidth="1"/>
    <col min="11778" max="11778" width="8.7109375" style="11" bestFit="1" customWidth="1"/>
    <col min="11779" max="11779" width="12.5703125" style="11" bestFit="1" customWidth="1"/>
    <col min="11780" max="11780" width="24.7109375" style="11" customWidth="1"/>
    <col min="11781" max="11783" width="9.140625" style="11"/>
    <col min="11784" max="11784" width="2.7109375" style="11" customWidth="1"/>
    <col min="11785" max="11785" width="9.28515625" style="11" bestFit="1" customWidth="1"/>
    <col min="11786" max="11786" width="7.85546875" style="11" bestFit="1" customWidth="1"/>
    <col min="11787" max="11787" width="11.140625" style="11" bestFit="1" customWidth="1"/>
    <col min="11788" max="11789" width="12.5703125" style="11" bestFit="1" customWidth="1"/>
    <col min="11790" max="12032" width="9.140625" style="11"/>
    <col min="12033" max="12033" width="4.85546875" style="11" bestFit="1" customWidth="1"/>
    <col min="12034" max="12034" width="8.7109375" style="11" bestFit="1" customWidth="1"/>
    <col min="12035" max="12035" width="12.5703125" style="11" bestFit="1" customWidth="1"/>
    <col min="12036" max="12036" width="24.7109375" style="11" customWidth="1"/>
    <col min="12037" max="12039" width="9.140625" style="11"/>
    <col min="12040" max="12040" width="2.7109375" style="11" customWidth="1"/>
    <col min="12041" max="12041" width="9.28515625" style="11" bestFit="1" customWidth="1"/>
    <col min="12042" max="12042" width="7.85546875" style="11" bestFit="1" customWidth="1"/>
    <col min="12043" max="12043" width="11.140625" style="11" bestFit="1" customWidth="1"/>
    <col min="12044" max="12045" width="12.5703125" style="11" bestFit="1" customWidth="1"/>
    <col min="12046" max="12288" width="9.140625" style="11"/>
    <col min="12289" max="12289" width="4.85546875" style="11" bestFit="1" customWidth="1"/>
    <col min="12290" max="12290" width="8.7109375" style="11" bestFit="1" customWidth="1"/>
    <col min="12291" max="12291" width="12.5703125" style="11" bestFit="1" customWidth="1"/>
    <col min="12292" max="12292" width="24.7109375" style="11" customWidth="1"/>
    <col min="12293" max="12295" width="9.140625" style="11"/>
    <col min="12296" max="12296" width="2.7109375" style="11" customWidth="1"/>
    <col min="12297" max="12297" width="9.28515625" style="11" bestFit="1" customWidth="1"/>
    <col min="12298" max="12298" width="7.85546875" style="11" bestFit="1" customWidth="1"/>
    <col min="12299" max="12299" width="11.140625" style="11" bestFit="1" customWidth="1"/>
    <col min="12300" max="12301" width="12.5703125" style="11" bestFit="1" customWidth="1"/>
    <col min="12302" max="12544" width="9.140625" style="11"/>
    <col min="12545" max="12545" width="4.85546875" style="11" bestFit="1" customWidth="1"/>
    <col min="12546" max="12546" width="8.7109375" style="11" bestFit="1" customWidth="1"/>
    <col min="12547" max="12547" width="12.5703125" style="11" bestFit="1" customWidth="1"/>
    <col min="12548" max="12548" width="24.7109375" style="11" customWidth="1"/>
    <col min="12549" max="12551" width="9.140625" style="11"/>
    <col min="12552" max="12552" width="2.7109375" style="11" customWidth="1"/>
    <col min="12553" max="12553" width="9.28515625" style="11" bestFit="1" customWidth="1"/>
    <col min="12554" max="12554" width="7.85546875" style="11" bestFit="1" customWidth="1"/>
    <col min="12555" max="12555" width="11.140625" style="11" bestFit="1" customWidth="1"/>
    <col min="12556" max="12557" width="12.5703125" style="11" bestFit="1" customWidth="1"/>
    <col min="12558" max="12800" width="9.140625" style="11"/>
    <col min="12801" max="12801" width="4.85546875" style="11" bestFit="1" customWidth="1"/>
    <col min="12802" max="12802" width="8.7109375" style="11" bestFit="1" customWidth="1"/>
    <col min="12803" max="12803" width="12.5703125" style="11" bestFit="1" customWidth="1"/>
    <col min="12804" max="12804" width="24.7109375" style="11" customWidth="1"/>
    <col min="12805" max="12807" width="9.140625" style="11"/>
    <col min="12808" max="12808" width="2.7109375" style="11" customWidth="1"/>
    <col min="12809" max="12809" width="9.28515625" style="11" bestFit="1" customWidth="1"/>
    <col min="12810" max="12810" width="7.85546875" style="11" bestFit="1" customWidth="1"/>
    <col min="12811" max="12811" width="11.140625" style="11" bestFit="1" customWidth="1"/>
    <col min="12812" max="12813" width="12.5703125" style="11" bestFit="1" customWidth="1"/>
    <col min="12814" max="13056" width="9.140625" style="11"/>
    <col min="13057" max="13057" width="4.85546875" style="11" bestFit="1" customWidth="1"/>
    <col min="13058" max="13058" width="8.7109375" style="11" bestFit="1" customWidth="1"/>
    <col min="13059" max="13059" width="12.5703125" style="11" bestFit="1" customWidth="1"/>
    <col min="13060" max="13060" width="24.7109375" style="11" customWidth="1"/>
    <col min="13061" max="13063" width="9.140625" style="11"/>
    <col min="13064" max="13064" width="2.7109375" style="11" customWidth="1"/>
    <col min="13065" max="13065" width="9.28515625" style="11" bestFit="1" customWidth="1"/>
    <col min="13066" max="13066" width="7.85546875" style="11" bestFit="1" customWidth="1"/>
    <col min="13067" max="13067" width="11.140625" style="11" bestFit="1" customWidth="1"/>
    <col min="13068" max="13069" width="12.5703125" style="11" bestFit="1" customWidth="1"/>
    <col min="13070" max="13312" width="9.140625" style="11"/>
    <col min="13313" max="13313" width="4.85546875" style="11" bestFit="1" customWidth="1"/>
    <col min="13314" max="13314" width="8.7109375" style="11" bestFit="1" customWidth="1"/>
    <col min="13315" max="13315" width="12.5703125" style="11" bestFit="1" customWidth="1"/>
    <col min="13316" max="13316" width="24.7109375" style="11" customWidth="1"/>
    <col min="13317" max="13319" width="9.140625" style="11"/>
    <col min="13320" max="13320" width="2.7109375" style="11" customWidth="1"/>
    <col min="13321" max="13321" width="9.28515625" style="11" bestFit="1" customWidth="1"/>
    <col min="13322" max="13322" width="7.85546875" style="11" bestFit="1" customWidth="1"/>
    <col min="13323" max="13323" width="11.140625" style="11" bestFit="1" customWidth="1"/>
    <col min="13324" max="13325" width="12.5703125" style="11" bestFit="1" customWidth="1"/>
    <col min="13326" max="13568" width="9.140625" style="11"/>
    <col min="13569" max="13569" width="4.85546875" style="11" bestFit="1" customWidth="1"/>
    <col min="13570" max="13570" width="8.7109375" style="11" bestFit="1" customWidth="1"/>
    <col min="13571" max="13571" width="12.5703125" style="11" bestFit="1" customWidth="1"/>
    <col min="13572" max="13572" width="24.7109375" style="11" customWidth="1"/>
    <col min="13573" max="13575" width="9.140625" style="11"/>
    <col min="13576" max="13576" width="2.7109375" style="11" customWidth="1"/>
    <col min="13577" max="13577" width="9.28515625" style="11" bestFit="1" customWidth="1"/>
    <col min="13578" max="13578" width="7.85546875" style="11" bestFit="1" customWidth="1"/>
    <col min="13579" max="13579" width="11.140625" style="11" bestFit="1" customWidth="1"/>
    <col min="13580" max="13581" width="12.5703125" style="11" bestFit="1" customWidth="1"/>
    <col min="13582" max="13824" width="9.140625" style="11"/>
    <col min="13825" max="13825" width="4.85546875" style="11" bestFit="1" customWidth="1"/>
    <col min="13826" max="13826" width="8.7109375" style="11" bestFit="1" customWidth="1"/>
    <col min="13827" max="13827" width="12.5703125" style="11" bestFit="1" customWidth="1"/>
    <col min="13828" max="13828" width="24.7109375" style="11" customWidth="1"/>
    <col min="13829" max="13831" width="9.140625" style="11"/>
    <col min="13832" max="13832" width="2.7109375" style="11" customWidth="1"/>
    <col min="13833" max="13833" width="9.28515625" style="11" bestFit="1" customWidth="1"/>
    <col min="13834" max="13834" width="7.85546875" style="11" bestFit="1" customWidth="1"/>
    <col min="13835" max="13835" width="11.140625" style="11" bestFit="1" customWidth="1"/>
    <col min="13836" max="13837" width="12.5703125" style="11" bestFit="1" customWidth="1"/>
    <col min="13838" max="14080" width="9.140625" style="11"/>
    <col min="14081" max="14081" width="4.85546875" style="11" bestFit="1" customWidth="1"/>
    <col min="14082" max="14082" width="8.7109375" style="11" bestFit="1" customWidth="1"/>
    <col min="14083" max="14083" width="12.5703125" style="11" bestFit="1" customWidth="1"/>
    <col min="14084" max="14084" width="24.7109375" style="11" customWidth="1"/>
    <col min="14085" max="14087" width="9.140625" style="11"/>
    <col min="14088" max="14088" width="2.7109375" style="11" customWidth="1"/>
    <col min="14089" max="14089" width="9.28515625" style="11" bestFit="1" customWidth="1"/>
    <col min="14090" max="14090" width="7.85546875" style="11" bestFit="1" customWidth="1"/>
    <col min="14091" max="14091" width="11.140625" style="11" bestFit="1" customWidth="1"/>
    <col min="14092" max="14093" width="12.5703125" style="11" bestFit="1" customWidth="1"/>
    <col min="14094" max="14336" width="9.140625" style="11"/>
    <col min="14337" max="14337" width="4.85546875" style="11" bestFit="1" customWidth="1"/>
    <col min="14338" max="14338" width="8.7109375" style="11" bestFit="1" customWidth="1"/>
    <col min="14339" max="14339" width="12.5703125" style="11" bestFit="1" customWidth="1"/>
    <col min="14340" max="14340" width="24.7109375" style="11" customWidth="1"/>
    <col min="14341" max="14343" width="9.140625" style="11"/>
    <col min="14344" max="14344" width="2.7109375" style="11" customWidth="1"/>
    <col min="14345" max="14345" width="9.28515625" style="11" bestFit="1" customWidth="1"/>
    <col min="14346" max="14346" width="7.85546875" style="11" bestFit="1" customWidth="1"/>
    <col min="14347" max="14347" width="11.140625" style="11" bestFit="1" customWidth="1"/>
    <col min="14348" max="14349" width="12.5703125" style="11" bestFit="1" customWidth="1"/>
    <col min="14350" max="14592" width="9.140625" style="11"/>
    <col min="14593" max="14593" width="4.85546875" style="11" bestFit="1" customWidth="1"/>
    <col min="14594" max="14594" width="8.7109375" style="11" bestFit="1" customWidth="1"/>
    <col min="14595" max="14595" width="12.5703125" style="11" bestFit="1" customWidth="1"/>
    <col min="14596" max="14596" width="24.7109375" style="11" customWidth="1"/>
    <col min="14597" max="14599" width="9.140625" style="11"/>
    <col min="14600" max="14600" width="2.7109375" style="11" customWidth="1"/>
    <col min="14601" max="14601" width="9.28515625" style="11" bestFit="1" customWidth="1"/>
    <col min="14602" max="14602" width="7.85546875" style="11" bestFit="1" customWidth="1"/>
    <col min="14603" max="14603" width="11.140625" style="11" bestFit="1" customWidth="1"/>
    <col min="14604" max="14605" width="12.5703125" style="11" bestFit="1" customWidth="1"/>
    <col min="14606" max="14848" width="9.140625" style="11"/>
    <col min="14849" max="14849" width="4.85546875" style="11" bestFit="1" customWidth="1"/>
    <col min="14850" max="14850" width="8.7109375" style="11" bestFit="1" customWidth="1"/>
    <col min="14851" max="14851" width="12.5703125" style="11" bestFit="1" customWidth="1"/>
    <col min="14852" max="14852" width="24.7109375" style="11" customWidth="1"/>
    <col min="14853" max="14855" width="9.140625" style="11"/>
    <col min="14856" max="14856" width="2.7109375" style="11" customWidth="1"/>
    <col min="14857" max="14857" width="9.28515625" style="11" bestFit="1" customWidth="1"/>
    <col min="14858" max="14858" width="7.85546875" style="11" bestFit="1" customWidth="1"/>
    <col min="14859" max="14859" width="11.140625" style="11" bestFit="1" customWidth="1"/>
    <col min="14860" max="14861" width="12.5703125" style="11" bestFit="1" customWidth="1"/>
    <col min="14862" max="15104" width="9.140625" style="11"/>
    <col min="15105" max="15105" width="4.85546875" style="11" bestFit="1" customWidth="1"/>
    <col min="15106" max="15106" width="8.7109375" style="11" bestFit="1" customWidth="1"/>
    <col min="15107" max="15107" width="12.5703125" style="11" bestFit="1" customWidth="1"/>
    <col min="15108" max="15108" width="24.7109375" style="11" customWidth="1"/>
    <col min="15109" max="15111" width="9.140625" style="11"/>
    <col min="15112" max="15112" width="2.7109375" style="11" customWidth="1"/>
    <col min="15113" max="15113" width="9.28515625" style="11" bestFit="1" customWidth="1"/>
    <col min="15114" max="15114" width="7.85546875" style="11" bestFit="1" customWidth="1"/>
    <col min="15115" max="15115" width="11.140625" style="11" bestFit="1" customWidth="1"/>
    <col min="15116" max="15117" width="12.5703125" style="11" bestFit="1" customWidth="1"/>
    <col min="15118" max="15360" width="9.140625" style="11"/>
    <col min="15361" max="15361" width="4.85546875" style="11" bestFit="1" customWidth="1"/>
    <col min="15362" max="15362" width="8.7109375" style="11" bestFit="1" customWidth="1"/>
    <col min="15363" max="15363" width="12.5703125" style="11" bestFit="1" customWidth="1"/>
    <col min="15364" max="15364" width="24.7109375" style="11" customWidth="1"/>
    <col min="15365" max="15367" width="9.140625" style="11"/>
    <col min="15368" max="15368" width="2.7109375" style="11" customWidth="1"/>
    <col min="15369" max="15369" width="9.28515625" style="11" bestFit="1" customWidth="1"/>
    <col min="15370" max="15370" width="7.85546875" style="11" bestFit="1" customWidth="1"/>
    <col min="15371" max="15371" width="11.140625" style="11" bestFit="1" customWidth="1"/>
    <col min="15372" max="15373" width="12.5703125" style="11" bestFit="1" customWidth="1"/>
    <col min="15374" max="15616" width="9.140625" style="11"/>
    <col min="15617" max="15617" width="4.85546875" style="11" bestFit="1" customWidth="1"/>
    <col min="15618" max="15618" width="8.7109375" style="11" bestFit="1" customWidth="1"/>
    <col min="15619" max="15619" width="12.5703125" style="11" bestFit="1" customWidth="1"/>
    <col min="15620" max="15620" width="24.7109375" style="11" customWidth="1"/>
    <col min="15621" max="15623" width="9.140625" style="11"/>
    <col min="15624" max="15624" width="2.7109375" style="11" customWidth="1"/>
    <col min="15625" max="15625" width="9.28515625" style="11" bestFit="1" customWidth="1"/>
    <col min="15626" max="15626" width="7.85546875" style="11" bestFit="1" customWidth="1"/>
    <col min="15627" max="15627" width="11.140625" style="11" bestFit="1" customWidth="1"/>
    <col min="15628" max="15629" width="12.5703125" style="11" bestFit="1" customWidth="1"/>
    <col min="15630" max="15872" width="9.140625" style="11"/>
    <col min="15873" max="15873" width="4.85546875" style="11" bestFit="1" customWidth="1"/>
    <col min="15874" max="15874" width="8.7109375" style="11" bestFit="1" customWidth="1"/>
    <col min="15875" max="15875" width="12.5703125" style="11" bestFit="1" customWidth="1"/>
    <col min="15876" max="15876" width="24.7109375" style="11" customWidth="1"/>
    <col min="15877" max="15879" width="9.140625" style="11"/>
    <col min="15880" max="15880" width="2.7109375" style="11" customWidth="1"/>
    <col min="15881" max="15881" width="9.28515625" style="11" bestFit="1" customWidth="1"/>
    <col min="15882" max="15882" width="7.85546875" style="11" bestFit="1" customWidth="1"/>
    <col min="15883" max="15883" width="11.140625" style="11" bestFit="1" customWidth="1"/>
    <col min="15884" max="15885" width="12.5703125" style="11" bestFit="1" customWidth="1"/>
    <col min="15886" max="16128" width="9.140625" style="11"/>
    <col min="16129" max="16129" width="4.85546875" style="11" bestFit="1" customWidth="1"/>
    <col min="16130" max="16130" width="8.7109375" style="11" bestFit="1" customWidth="1"/>
    <col min="16131" max="16131" width="12.5703125" style="11" bestFit="1" customWidth="1"/>
    <col min="16132" max="16132" width="24.7109375" style="11" customWidth="1"/>
    <col min="16133" max="16135" width="9.140625" style="11"/>
    <col min="16136" max="16136" width="2.7109375" style="11" customWidth="1"/>
    <col min="16137" max="16137" width="9.28515625" style="11" bestFit="1" customWidth="1"/>
    <col min="16138" max="16138" width="7.85546875" style="11" bestFit="1" customWidth="1"/>
    <col min="16139" max="16139" width="11.140625" style="11" bestFit="1" customWidth="1"/>
    <col min="16140" max="16141" width="12.5703125" style="11" bestFit="1" customWidth="1"/>
    <col min="16142" max="16384" width="9.140625" style="11"/>
  </cols>
  <sheetData>
    <row r="1" spans="1:11" ht="12" customHeight="1" thickBot="1" x14ac:dyDescent="0.25">
      <c r="A1" s="261" t="s">
        <v>97</v>
      </c>
      <c r="B1" s="262"/>
      <c r="C1" s="263" t="s">
        <v>126</v>
      </c>
      <c r="D1" s="264"/>
      <c r="E1" s="33" t="s">
        <v>22</v>
      </c>
      <c r="F1" s="34">
        <f>IF(COUNTA(B6:B55)&lt;&gt;0,MIN(B6:B55),"")</f>
        <v>45933</v>
      </c>
      <c r="G1" s="34">
        <f>IF(COUNTA(B6:B55)&lt;&gt;0,MAX(B6:B55),"")</f>
        <v>45951</v>
      </c>
      <c r="I1" s="19"/>
      <c r="J1" s="19"/>
      <c r="K1" s="19"/>
    </row>
    <row r="2" spans="1:11" ht="10.9" customHeight="1" thickBot="1" x14ac:dyDescent="0.25">
      <c r="A2" s="261" t="s">
        <v>98</v>
      </c>
      <c r="B2" s="262"/>
      <c r="C2" s="263" t="s">
        <v>301</v>
      </c>
      <c r="D2" s="264"/>
      <c r="E2" s="12" t="s">
        <v>23</v>
      </c>
      <c r="F2" s="13" t="s">
        <v>24</v>
      </c>
      <c r="G2" s="49" t="s">
        <v>153</v>
      </c>
    </row>
    <row r="3" spans="1:11" ht="11.25" customHeight="1" x14ac:dyDescent="0.2">
      <c r="A3" s="265" t="s">
        <v>25</v>
      </c>
      <c r="B3" s="268" t="s">
        <v>26</v>
      </c>
      <c r="C3" s="14" t="s">
        <v>27</v>
      </c>
      <c r="D3" s="265" t="s">
        <v>8</v>
      </c>
      <c r="E3" s="271" t="s">
        <v>28</v>
      </c>
      <c r="F3" s="271" t="s">
        <v>29</v>
      </c>
      <c r="G3" s="271" t="s">
        <v>30</v>
      </c>
    </row>
    <row r="4" spans="1:11" x14ac:dyDescent="0.2">
      <c r="A4" s="266"/>
      <c r="B4" s="269"/>
      <c r="C4" s="15" t="s">
        <v>31</v>
      </c>
      <c r="D4" s="266"/>
      <c r="E4" s="272"/>
      <c r="F4" s="272"/>
      <c r="G4" s="272"/>
    </row>
    <row r="5" spans="1:11" ht="12" thickBot="1" x14ac:dyDescent="0.25">
      <c r="A5" s="267"/>
      <c r="B5" s="270"/>
      <c r="C5" s="16" t="s">
        <v>32</v>
      </c>
      <c r="D5" s="267"/>
      <c r="E5" s="16" t="s">
        <v>33</v>
      </c>
      <c r="F5" s="16" t="s">
        <v>33</v>
      </c>
      <c r="G5" s="16" t="s">
        <v>33</v>
      </c>
    </row>
    <row r="6" spans="1:11" ht="11.25" customHeight="1" x14ac:dyDescent="0.2">
      <c r="A6" s="17" t="s">
        <v>34</v>
      </c>
      <c r="B6" s="35">
        <v>45933</v>
      </c>
      <c r="C6" s="36" t="s">
        <v>141</v>
      </c>
      <c r="D6" s="37" t="s">
        <v>186</v>
      </c>
      <c r="E6" s="38">
        <v>400000</v>
      </c>
      <c r="F6" s="38"/>
      <c r="G6" s="18">
        <f>E57+E6-F6</f>
        <v>400000</v>
      </c>
    </row>
    <row r="7" spans="1:11" x14ac:dyDescent="0.2">
      <c r="A7" s="17" t="s">
        <v>35</v>
      </c>
      <c r="B7" s="39">
        <v>45933</v>
      </c>
      <c r="C7" s="40" t="s">
        <v>290</v>
      </c>
      <c r="D7" s="37" t="s">
        <v>186</v>
      </c>
      <c r="E7" s="38">
        <v>400000</v>
      </c>
      <c r="F7" s="42"/>
      <c r="G7" s="18">
        <f>G6+E7-F7</f>
        <v>800000</v>
      </c>
    </row>
    <row r="8" spans="1:11" x14ac:dyDescent="0.2">
      <c r="A8" s="17" t="s">
        <v>36</v>
      </c>
      <c r="B8" s="39">
        <v>45933</v>
      </c>
      <c r="C8" s="36" t="s">
        <v>291</v>
      </c>
      <c r="D8" s="37" t="s">
        <v>186</v>
      </c>
      <c r="E8" s="38">
        <v>400000</v>
      </c>
      <c r="F8" s="42"/>
      <c r="G8" s="18">
        <f t="shared" ref="G8:G54" si="0">G7+E8-F8</f>
        <v>1200000</v>
      </c>
    </row>
    <row r="9" spans="1:11" x14ac:dyDescent="0.2">
      <c r="A9" s="17" t="s">
        <v>37</v>
      </c>
      <c r="B9" s="39">
        <v>45933</v>
      </c>
      <c r="C9" s="40" t="s">
        <v>292</v>
      </c>
      <c r="D9" s="37" t="s">
        <v>186</v>
      </c>
      <c r="E9" s="38">
        <v>400000</v>
      </c>
      <c r="F9" s="42"/>
      <c r="G9" s="18">
        <f>G8+E9-F9</f>
        <v>1600000</v>
      </c>
    </row>
    <row r="10" spans="1:11" x14ac:dyDescent="0.2">
      <c r="A10" s="17" t="s">
        <v>38</v>
      </c>
      <c r="B10" s="39">
        <v>45933</v>
      </c>
      <c r="C10" s="36" t="s">
        <v>293</v>
      </c>
      <c r="D10" s="41" t="s">
        <v>294</v>
      </c>
      <c r="E10" s="42">
        <v>90380</v>
      </c>
      <c r="F10" s="42"/>
      <c r="G10" s="18">
        <f t="shared" si="0"/>
        <v>1690380</v>
      </c>
    </row>
    <row r="11" spans="1:11" x14ac:dyDescent="0.2">
      <c r="A11" s="17" t="s">
        <v>39</v>
      </c>
      <c r="B11" s="39">
        <v>45933</v>
      </c>
      <c r="C11" s="40" t="s">
        <v>136</v>
      </c>
      <c r="D11" s="41" t="s">
        <v>120</v>
      </c>
      <c r="E11" s="42"/>
      <c r="F11" s="42">
        <v>84835</v>
      </c>
      <c r="G11" s="18">
        <f t="shared" si="0"/>
        <v>1605545</v>
      </c>
    </row>
    <row r="12" spans="1:11" x14ac:dyDescent="0.2">
      <c r="A12" s="17" t="s">
        <v>40</v>
      </c>
      <c r="B12" s="39">
        <v>45933</v>
      </c>
      <c r="C12" s="40" t="s">
        <v>295</v>
      </c>
      <c r="D12" s="41" t="s">
        <v>131</v>
      </c>
      <c r="E12" s="42"/>
      <c r="F12" s="42">
        <v>5545</v>
      </c>
      <c r="G12" s="18">
        <f t="shared" si="0"/>
        <v>1600000</v>
      </c>
    </row>
    <row r="13" spans="1:11" x14ac:dyDescent="0.2">
      <c r="A13" s="17" t="s">
        <v>41</v>
      </c>
      <c r="B13" s="39">
        <v>45933</v>
      </c>
      <c r="C13" s="40" t="s">
        <v>296</v>
      </c>
      <c r="D13" s="41" t="s">
        <v>135</v>
      </c>
      <c r="E13" s="42"/>
      <c r="F13" s="42">
        <v>1600000</v>
      </c>
      <c r="G13" s="18">
        <f t="shared" si="0"/>
        <v>0</v>
      </c>
    </row>
    <row r="14" spans="1:11" x14ac:dyDescent="0.2">
      <c r="A14" s="17" t="s">
        <v>42</v>
      </c>
      <c r="B14" s="39">
        <v>45950</v>
      </c>
      <c r="C14" s="40" t="s">
        <v>297</v>
      </c>
      <c r="D14" s="41" t="s">
        <v>159</v>
      </c>
      <c r="E14" s="42">
        <v>1395</v>
      </c>
      <c r="F14" s="42"/>
      <c r="G14" s="18">
        <f t="shared" si="0"/>
        <v>1395</v>
      </c>
    </row>
    <row r="15" spans="1:11" x14ac:dyDescent="0.2">
      <c r="A15" s="17" t="s">
        <v>43</v>
      </c>
      <c r="B15" s="39">
        <v>45950</v>
      </c>
      <c r="C15" s="40" t="s">
        <v>298</v>
      </c>
      <c r="D15" s="41" t="s">
        <v>149</v>
      </c>
      <c r="E15" s="42"/>
      <c r="F15" s="42">
        <v>1395</v>
      </c>
      <c r="G15" s="18">
        <f t="shared" si="0"/>
        <v>0</v>
      </c>
    </row>
    <row r="16" spans="1:11" x14ac:dyDescent="0.2">
      <c r="A16" s="17" t="s">
        <v>44</v>
      </c>
      <c r="B16" s="39">
        <v>45951</v>
      </c>
      <c r="C16" s="40" t="s">
        <v>299</v>
      </c>
      <c r="D16" s="41" t="s">
        <v>220</v>
      </c>
      <c r="E16" s="42">
        <v>150000</v>
      </c>
      <c r="F16" s="42"/>
      <c r="G16" s="18">
        <f t="shared" si="0"/>
        <v>150000</v>
      </c>
    </row>
    <row r="17" spans="1:7" x14ac:dyDescent="0.2">
      <c r="A17" s="17" t="s">
        <v>45</v>
      </c>
      <c r="B17" s="39">
        <v>45951</v>
      </c>
      <c r="C17" s="40" t="s">
        <v>300</v>
      </c>
      <c r="D17" s="41" t="s">
        <v>215</v>
      </c>
      <c r="E17" s="42"/>
      <c r="F17" s="42">
        <v>105105</v>
      </c>
      <c r="G17" s="18">
        <f t="shared" si="0"/>
        <v>44895</v>
      </c>
    </row>
    <row r="18" spans="1:7" x14ac:dyDescent="0.2">
      <c r="A18" s="17" t="s">
        <v>46</v>
      </c>
      <c r="B18" s="39"/>
      <c r="C18" s="40"/>
      <c r="D18" s="41"/>
      <c r="E18" s="42"/>
      <c r="F18" s="42"/>
      <c r="G18" s="18">
        <f t="shared" si="0"/>
        <v>44895</v>
      </c>
    </row>
    <row r="19" spans="1:7" x14ac:dyDescent="0.2">
      <c r="A19" s="17" t="s">
        <v>47</v>
      </c>
      <c r="B19" s="39"/>
      <c r="C19" s="40"/>
      <c r="D19" s="41"/>
      <c r="E19" s="42"/>
      <c r="F19" s="42"/>
      <c r="G19" s="18">
        <f t="shared" si="0"/>
        <v>44895</v>
      </c>
    </row>
    <row r="20" spans="1:7" x14ac:dyDescent="0.2">
      <c r="A20" s="17" t="s">
        <v>48</v>
      </c>
      <c r="B20" s="39"/>
      <c r="C20" s="40"/>
      <c r="D20" s="41"/>
      <c r="E20" s="42"/>
      <c r="F20" s="42"/>
      <c r="G20" s="18">
        <f t="shared" si="0"/>
        <v>44895</v>
      </c>
    </row>
    <row r="21" spans="1:7" x14ac:dyDescent="0.2">
      <c r="A21" s="17" t="s">
        <v>49</v>
      </c>
      <c r="B21" s="39"/>
      <c r="C21" s="40"/>
      <c r="D21" s="41"/>
      <c r="E21" s="42"/>
      <c r="F21" s="42"/>
      <c r="G21" s="18">
        <f t="shared" si="0"/>
        <v>44895</v>
      </c>
    </row>
    <row r="22" spans="1:7" x14ac:dyDescent="0.2">
      <c r="A22" s="17" t="s">
        <v>50</v>
      </c>
      <c r="B22" s="39"/>
      <c r="C22" s="40"/>
      <c r="D22" s="41"/>
      <c r="E22" s="42"/>
      <c r="F22" s="42"/>
      <c r="G22" s="18">
        <f t="shared" si="0"/>
        <v>44895</v>
      </c>
    </row>
    <row r="23" spans="1:7" x14ac:dyDescent="0.2">
      <c r="A23" s="17" t="s">
        <v>51</v>
      </c>
      <c r="B23" s="39"/>
      <c r="C23" s="40"/>
      <c r="D23" s="41"/>
      <c r="E23" s="42"/>
      <c r="F23" s="42"/>
      <c r="G23" s="18">
        <f t="shared" si="0"/>
        <v>44895</v>
      </c>
    </row>
    <row r="24" spans="1:7" x14ac:dyDescent="0.2">
      <c r="A24" s="17" t="s">
        <v>52</v>
      </c>
      <c r="B24" s="39"/>
      <c r="C24" s="40"/>
      <c r="D24" s="41"/>
      <c r="E24" s="42"/>
      <c r="F24" s="42"/>
      <c r="G24" s="18">
        <f t="shared" si="0"/>
        <v>44895</v>
      </c>
    </row>
    <row r="25" spans="1:7" x14ac:dyDescent="0.2">
      <c r="A25" s="17" t="s">
        <v>53</v>
      </c>
      <c r="B25" s="39"/>
      <c r="C25" s="40"/>
      <c r="D25" s="41"/>
      <c r="E25" s="42"/>
      <c r="F25" s="42"/>
      <c r="G25" s="18">
        <f t="shared" si="0"/>
        <v>44895</v>
      </c>
    </row>
    <row r="26" spans="1:7" x14ac:dyDescent="0.2">
      <c r="A26" s="17" t="s">
        <v>54</v>
      </c>
      <c r="B26" s="39"/>
      <c r="C26" s="40"/>
      <c r="D26" s="41"/>
      <c r="E26" s="42"/>
      <c r="F26" s="42"/>
      <c r="G26" s="18">
        <f t="shared" si="0"/>
        <v>44895</v>
      </c>
    </row>
    <row r="27" spans="1:7" x14ac:dyDescent="0.2">
      <c r="A27" s="17" t="s">
        <v>55</v>
      </c>
      <c r="B27" s="39"/>
      <c r="C27" s="40"/>
      <c r="D27" s="41"/>
      <c r="E27" s="42"/>
      <c r="F27" s="42"/>
      <c r="G27" s="18">
        <f t="shared" si="0"/>
        <v>44895</v>
      </c>
    </row>
    <row r="28" spans="1:7" x14ac:dyDescent="0.2">
      <c r="A28" s="17" t="s">
        <v>56</v>
      </c>
      <c r="B28" s="39"/>
      <c r="C28" s="40"/>
      <c r="D28" s="41"/>
      <c r="E28" s="42"/>
      <c r="F28" s="42"/>
      <c r="G28" s="18">
        <f t="shared" si="0"/>
        <v>44895</v>
      </c>
    </row>
    <row r="29" spans="1:7" x14ac:dyDescent="0.2">
      <c r="A29" s="17" t="s">
        <v>57</v>
      </c>
      <c r="B29" s="39"/>
      <c r="C29" s="40"/>
      <c r="D29" s="41"/>
      <c r="E29" s="42"/>
      <c r="F29" s="42"/>
      <c r="G29" s="18">
        <f t="shared" si="0"/>
        <v>44895</v>
      </c>
    </row>
    <row r="30" spans="1:7" x14ac:dyDescent="0.2">
      <c r="A30" s="17" t="s">
        <v>58</v>
      </c>
      <c r="B30" s="39"/>
      <c r="C30" s="40"/>
      <c r="D30" s="41"/>
      <c r="E30" s="42"/>
      <c r="F30" s="42"/>
      <c r="G30" s="18">
        <f t="shared" si="0"/>
        <v>44895</v>
      </c>
    </row>
    <row r="31" spans="1:7" x14ac:dyDescent="0.2">
      <c r="A31" s="17" t="s">
        <v>59</v>
      </c>
      <c r="B31" s="39"/>
      <c r="C31" s="40"/>
      <c r="D31" s="41"/>
      <c r="E31" s="42"/>
      <c r="F31" s="42"/>
      <c r="G31" s="18">
        <f t="shared" si="0"/>
        <v>44895</v>
      </c>
    </row>
    <row r="32" spans="1:7" x14ac:dyDescent="0.2">
      <c r="A32" s="17" t="s">
        <v>60</v>
      </c>
      <c r="B32" s="39"/>
      <c r="C32" s="40"/>
      <c r="D32" s="41"/>
      <c r="E32" s="42"/>
      <c r="F32" s="42"/>
      <c r="G32" s="18">
        <f t="shared" si="0"/>
        <v>44895</v>
      </c>
    </row>
    <row r="33" spans="1:11" x14ac:dyDescent="0.2">
      <c r="A33" s="17" t="s">
        <v>61</v>
      </c>
      <c r="B33" s="39"/>
      <c r="C33" s="40"/>
      <c r="D33" s="41"/>
      <c r="E33" s="42"/>
      <c r="F33" s="42"/>
      <c r="G33" s="18">
        <f t="shared" si="0"/>
        <v>44895</v>
      </c>
    </row>
    <row r="34" spans="1:11" x14ac:dyDescent="0.2">
      <c r="A34" s="17" t="s">
        <v>62</v>
      </c>
      <c r="B34" s="39"/>
      <c r="C34" s="40"/>
      <c r="D34" s="41"/>
      <c r="E34" s="42"/>
      <c r="F34" s="42"/>
      <c r="G34" s="18">
        <f t="shared" si="0"/>
        <v>44895</v>
      </c>
    </row>
    <row r="35" spans="1:11" x14ac:dyDescent="0.2">
      <c r="A35" s="17" t="s">
        <v>63</v>
      </c>
      <c r="B35" s="39"/>
      <c r="C35" s="40"/>
      <c r="D35" s="41"/>
      <c r="E35" s="42"/>
      <c r="F35" s="42"/>
      <c r="G35" s="18">
        <f t="shared" si="0"/>
        <v>44895</v>
      </c>
    </row>
    <row r="36" spans="1:11" x14ac:dyDescent="0.2">
      <c r="A36" s="17" t="s">
        <v>64</v>
      </c>
      <c r="B36" s="39"/>
      <c r="C36" s="40"/>
      <c r="D36" s="41"/>
      <c r="E36" s="42"/>
      <c r="F36" s="42"/>
      <c r="G36" s="18">
        <f t="shared" si="0"/>
        <v>44895</v>
      </c>
    </row>
    <row r="37" spans="1:11" x14ac:dyDescent="0.2">
      <c r="A37" s="17" t="s">
        <v>65</v>
      </c>
      <c r="B37" s="39"/>
      <c r="C37" s="40"/>
      <c r="D37" s="41"/>
      <c r="E37" s="42"/>
      <c r="F37" s="42"/>
      <c r="G37" s="18">
        <f t="shared" si="0"/>
        <v>44895</v>
      </c>
    </row>
    <row r="38" spans="1:11" x14ac:dyDescent="0.2">
      <c r="A38" s="17" t="s">
        <v>66</v>
      </c>
      <c r="B38" s="39"/>
      <c r="C38" s="40"/>
      <c r="D38" s="41"/>
      <c r="E38" s="42"/>
      <c r="F38" s="42"/>
      <c r="G38" s="18">
        <f t="shared" si="0"/>
        <v>44895</v>
      </c>
    </row>
    <row r="39" spans="1:11" x14ac:dyDescent="0.2">
      <c r="A39" s="17" t="s">
        <v>67</v>
      </c>
      <c r="B39" s="39"/>
      <c r="C39" s="40"/>
      <c r="D39" s="41"/>
      <c r="E39" s="42"/>
      <c r="F39" s="42"/>
      <c r="G39" s="18">
        <f t="shared" si="0"/>
        <v>44895</v>
      </c>
    </row>
    <row r="40" spans="1:11" x14ac:dyDescent="0.2">
      <c r="A40" s="17" t="s">
        <v>68</v>
      </c>
      <c r="B40" s="39"/>
      <c r="C40" s="40"/>
      <c r="D40" s="41"/>
      <c r="E40" s="42"/>
      <c r="F40" s="42"/>
      <c r="G40" s="18">
        <f t="shared" si="0"/>
        <v>44895</v>
      </c>
    </row>
    <row r="41" spans="1:11" ht="12" thickBot="1" x14ac:dyDescent="0.25">
      <c r="A41" s="17" t="s">
        <v>69</v>
      </c>
      <c r="B41" s="39"/>
      <c r="C41" s="40"/>
      <c r="D41" s="41"/>
      <c r="E41" s="42"/>
      <c r="F41" s="42"/>
      <c r="G41" s="18">
        <f t="shared" si="0"/>
        <v>44895</v>
      </c>
    </row>
    <row r="42" spans="1:11" ht="12" thickBot="1" x14ac:dyDescent="0.25">
      <c r="A42" s="17" t="s">
        <v>70</v>
      </c>
      <c r="B42" s="39"/>
      <c r="C42" s="40"/>
      <c r="D42" s="41"/>
      <c r="E42" s="42"/>
      <c r="F42" s="42"/>
      <c r="G42" s="18">
        <f t="shared" si="0"/>
        <v>44895</v>
      </c>
      <c r="I42" s="254" t="str">
        <f>A1</f>
        <v>Cég neve:</v>
      </c>
      <c r="J42" s="255"/>
      <c r="K42" s="256"/>
    </row>
    <row r="43" spans="1:11" ht="12" thickBot="1" x14ac:dyDescent="0.25">
      <c r="A43" s="17" t="s">
        <v>71</v>
      </c>
      <c r="B43" s="39"/>
      <c r="C43" s="40"/>
      <c r="D43" s="41"/>
      <c r="E43" s="42"/>
      <c r="F43" s="42"/>
      <c r="G43" s="18">
        <f t="shared" si="0"/>
        <v>44895</v>
      </c>
      <c r="I43" s="257" t="str">
        <f>"Címletjegyzék "</f>
        <v xml:space="preserve">Címletjegyzék </v>
      </c>
      <c r="J43" s="258"/>
      <c r="K43" s="259"/>
    </row>
    <row r="44" spans="1:11" ht="12" thickBot="1" x14ac:dyDescent="0.25">
      <c r="A44" s="17" t="s">
        <v>72</v>
      </c>
      <c r="B44" s="39"/>
      <c r="C44" s="40"/>
      <c r="D44" s="41"/>
      <c r="E44" s="42"/>
      <c r="F44" s="42"/>
      <c r="G44" s="18">
        <f t="shared" si="0"/>
        <v>44895</v>
      </c>
      <c r="I44" s="20" t="s">
        <v>73</v>
      </c>
      <c r="J44" s="21" t="s">
        <v>74</v>
      </c>
      <c r="K44" s="22" t="s">
        <v>75</v>
      </c>
    </row>
    <row r="45" spans="1:11" x14ac:dyDescent="0.2">
      <c r="A45" s="17" t="s">
        <v>76</v>
      </c>
      <c r="B45" s="39"/>
      <c r="C45" s="40"/>
      <c r="D45" s="41"/>
      <c r="E45" s="42"/>
      <c r="F45" s="42"/>
      <c r="G45" s="18">
        <f t="shared" si="0"/>
        <v>44895</v>
      </c>
      <c r="I45" s="23">
        <v>20000</v>
      </c>
      <c r="J45" s="48"/>
      <c r="K45" s="24">
        <f>I45*J45</f>
        <v>0</v>
      </c>
    </row>
    <row r="46" spans="1:11" x14ac:dyDescent="0.2">
      <c r="A46" s="17" t="s">
        <v>77</v>
      </c>
      <c r="B46" s="39"/>
      <c r="C46" s="40"/>
      <c r="D46" s="41"/>
      <c r="E46" s="42"/>
      <c r="F46" s="42"/>
      <c r="G46" s="18">
        <f t="shared" si="0"/>
        <v>44895</v>
      </c>
      <c r="I46" s="23">
        <v>10000</v>
      </c>
      <c r="J46" s="48"/>
      <c r="K46" s="24">
        <f t="shared" ref="K46:K56" si="1">I46*J46</f>
        <v>0</v>
      </c>
    </row>
    <row r="47" spans="1:11" x14ac:dyDescent="0.2">
      <c r="A47" s="17" t="s">
        <v>78</v>
      </c>
      <c r="B47" s="39"/>
      <c r="C47" s="40"/>
      <c r="D47" s="41"/>
      <c r="E47" s="42"/>
      <c r="F47" s="42"/>
      <c r="G47" s="18">
        <f t="shared" si="0"/>
        <v>44895</v>
      </c>
      <c r="I47" s="23">
        <v>5000</v>
      </c>
      <c r="J47" s="48"/>
      <c r="K47" s="24">
        <f t="shared" si="1"/>
        <v>0</v>
      </c>
    </row>
    <row r="48" spans="1:11" x14ac:dyDescent="0.2">
      <c r="A48" s="17" t="s">
        <v>79</v>
      </c>
      <c r="B48" s="39"/>
      <c r="C48" s="40"/>
      <c r="D48" s="41"/>
      <c r="E48" s="42"/>
      <c r="F48" s="42"/>
      <c r="G48" s="18">
        <f t="shared" si="0"/>
        <v>44895</v>
      </c>
      <c r="I48" s="23">
        <v>2000</v>
      </c>
      <c r="J48" s="48"/>
      <c r="K48" s="24">
        <f t="shared" si="1"/>
        <v>0</v>
      </c>
    </row>
    <row r="49" spans="1:11" x14ac:dyDescent="0.2">
      <c r="A49" s="17" t="s">
        <v>80</v>
      </c>
      <c r="B49" s="39"/>
      <c r="C49" s="40"/>
      <c r="D49" s="41"/>
      <c r="E49" s="42"/>
      <c r="F49" s="42"/>
      <c r="G49" s="18">
        <f t="shared" si="0"/>
        <v>44895</v>
      </c>
      <c r="I49" s="23">
        <v>1000</v>
      </c>
      <c r="J49" s="48"/>
      <c r="K49" s="24">
        <f t="shared" si="1"/>
        <v>0</v>
      </c>
    </row>
    <row r="50" spans="1:11" x14ac:dyDescent="0.2">
      <c r="A50" s="17" t="s">
        <v>81</v>
      </c>
      <c r="B50" s="39"/>
      <c r="C50" s="40"/>
      <c r="D50" s="41"/>
      <c r="E50" s="42"/>
      <c r="F50" s="42"/>
      <c r="G50" s="18">
        <f t="shared" si="0"/>
        <v>44895</v>
      </c>
      <c r="I50" s="23">
        <v>500</v>
      </c>
      <c r="J50" s="48"/>
      <c r="K50" s="24">
        <f t="shared" si="1"/>
        <v>0</v>
      </c>
    </row>
    <row r="51" spans="1:11" x14ac:dyDescent="0.2">
      <c r="A51" s="17" t="s">
        <v>82</v>
      </c>
      <c r="B51" s="39"/>
      <c r="C51" s="40"/>
      <c r="D51" s="41"/>
      <c r="E51" s="42"/>
      <c r="F51" s="42"/>
      <c r="G51" s="18">
        <f t="shared" si="0"/>
        <v>44895</v>
      </c>
      <c r="I51" s="23">
        <v>200</v>
      </c>
      <c r="J51" s="48"/>
      <c r="K51" s="24">
        <f t="shared" si="1"/>
        <v>0</v>
      </c>
    </row>
    <row r="52" spans="1:11" x14ac:dyDescent="0.2">
      <c r="A52" s="17" t="s">
        <v>83</v>
      </c>
      <c r="B52" s="39"/>
      <c r="C52" s="40"/>
      <c r="D52" s="41"/>
      <c r="E52" s="42"/>
      <c r="F52" s="42"/>
      <c r="G52" s="18">
        <f t="shared" si="0"/>
        <v>44895</v>
      </c>
      <c r="I52" s="23">
        <v>100</v>
      </c>
      <c r="J52" s="48"/>
      <c r="K52" s="24">
        <f t="shared" si="1"/>
        <v>0</v>
      </c>
    </row>
    <row r="53" spans="1:11" x14ac:dyDescent="0.2">
      <c r="A53" s="17" t="s">
        <v>84</v>
      </c>
      <c r="B53" s="39"/>
      <c r="C53" s="40"/>
      <c r="D53" s="41"/>
      <c r="E53" s="42"/>
      <c r="F53" s="42"/>
      <c r="G53" s="18">
        <f t="shared" si="0"/>
        <v>44895</v>
      </c>
      <c r="I53" s="23">
        <v>50</v>
      </c>
      <c r="J53" s="48"/>
      <c r="K53" s="24">
        <f t="shared" si="1"/>
        <v>0</v>
      </c>
    </row>
    <row r="54" spans="1:11" x14ac:dyDescent="0.2">
      <c r="A54" s="17" t="s">
        <v>85</v>
      </c>
      <c r="B54" s="43"/>
      <c r="C54" s="44"/>
      <c r="D54" s="45"/>
      <c r="E54" s="46"/>
      <c r="F54" s="46"/>
      <c r="G54" s="18">
        <f t="shared" si="0"/>
        <v>44895</v>
      </c>
      <c r="I54" s="23">
        <v>20</v>
      </c>
      <c r="J54" s="48"/>
      <c r="K54" s="24">
        <f t="shared" si="1"/>
        <v>0</v>
      </c>
    </row>
    <row r="55" spans="1:11" ht="12" thickBot="1" x14ac:dyDescent="0.25">
      <c r="A55" s="25" t="s">
        <v>86</v>
      </c>
      <c r="B55" s="39"/>
      <c r="C55" s="40"/>
      <c r="D55" s="41"/>
      <c r="E55" s="42"/>
      <c r="F55" s="42"/>
      <c r="G55" s="26">
        <f>G54+E55-F55</f>
        <v>44895</v>
      </c>
      <c r="I55" s="23">
        <v>10</v>
      </c>
      <c r="J55" s="48"/>
      <c r="K55" s="24">
        <f t="shared" si="1"/>
        <v>0</v>
      </c>
    </row>
    <row r="56" spans="1:11" ht="12" thickBot="1" x14ac:dyDescent="0.25">
      <c r="A56" s="251" t="s">
        <v>87</v>
      </c>
      <c r="B56" s="252"/>
      <c r="C56" s="252"/>
      <c r="D56" s="253"/>
      <c r="E56" s="27">
        <f>SUM(E6:E55)</f>
        <v>1841775</v>
      </c>
      <c r="F56" s="27">
        <f>SUM(F6:F55)</f>
        <v>1796880</v>
      </c>
      <c r="G56" s="28"/>
      <c r="I56" s="23">
        <v>5</v>
      </c>
      <c r="J56" s="48"/>
      <c r="K56" s="24">
        <f t="shared" si="1"/>
        <v>0</v>
      </c>
    </row>
    <row r="57" spans="1:11" ht="12" thickBot="1" x14ac:dyDescent="0.25">
      <c r="A57" s="251" t="s">
        <v>88</v>
      </c>
      <c r="B57" s="252"/>
      <c r="C57" s="252"/>
      <c r="D57" s="253"/>
      <c r="E57" s="47">
        <v>0</v>
      </c>
      <c r="F57" s="27"/>
      <c r="G57" s="28"/>
      <c r="I57" s="249" t="s">
        <v>12</v>
      </c>
      <c r="J57" s="250"/>
      <c r="K57" s="29">
        <f>SUM(K45:K56)</f>
        <v>0</v>
      </c>
    </row>
    <row r="58" spans="1:11" ht="12" thickBot="1" x14ac:dyDescent="0.25">
      <c r="A58" s="251" t="s">
        <v>89</v>
      </c>
      <c r="B58" s="252"/>
      <c r="C58" s="252"/>
      <c r="D58" s="253"/>
      <c r="E58" s="27"/>
      <c r="F58" s="30">
        <f>E56+E57-F56</f>
        <v>44895</v>
      </c>
      <c r="G58" s="31"/>
      <c r="I58" s="11" t="s">
        <v>90</v>
      </c>
    </row>
    <row r="59" spans="1:11" ht="12" thickBot="1" x14ac:dyDescent="0.25">
      <c r="A59" s="251" t="s">
        <v>91</v>
      </c>
      <c r="B59" s="252"/>
      <c r="C59" s="252"/>
      <c r="D59" s="253"/>
      <c r="E59" s="32"/>
      <c r="F59" s="30">
        <f>K57</f>
        <v>0</v>
      </c>
      <c r="I59" s="50" t="s">
        <v>92</v>
      </c>
      <c r="J59" s="51"/>
      <c r="K59" s="50" t="s">
        <v>93</v>
      </c>
    </row>
    <row r="60" spans="1:11" ht="12" thickBot="1" x14ac:dyDescent="0.25">
      <c r="A60" s="251" t="s">
        <v>94</v>
      </c>
      <c r="B60" s="252"/>
      <c r="C60" s="252"/>
      <c r="D60" s="253"/>
      <c r="E60" s="27">
        <f>IF(F59&gt;F58,F59-F58,0)</f>
        <v>0</v>
      </c>
      <c r="F60" s="27">
        <f>IF(F59&lt;F58,-F59+F58,0)</f>
        <v>44895</v>
      </c>
      <c r="I60" s="50" t="s">
        <v>95</v>
      </c>
      <c r="J60" s="51"/>
      <c r="K60" s="50" t="s">
        <v>93</v>
      </c>
    </row>
    <row r="61" spans="1:11" ht="12" thickBot="1" x14ac:dyDescent="0.25">
      <c r="A61" s="251" t="s">
        <v>96</v>
      </c>
      <c r="B61" s="252"/>
      <c r="C61" s="252"/>
      <c r="D61" s="253"/>
      <c r="E61" s="27">
        <f>E56+E57+E60</f>
        <v>1841775</v>
      </c>
      <c r="F61" s="27">
        <f>F56+F58+F60</f>
        <v>1886670</v>
      </c>
      <c r="I61" s="50" t="s">
        <v>12</v>
      </c>
      <c r="J61" s="52">
        <f>SUM(J59:J60)</f>
        <v>0</v>
      </c>
      <c r="K61" s="50" t="s">
        <v>93</v>
      </c>
    </row>
    <row r="63" spans="1:11" x14ac:dyDescent="0.2">
      <c r="A63" s="11" t="s">
        <v>99</v>
      </c>
      <c r="B63" s="53">
        <v>45952</v>
      </c>
      <c r="D63" s="260" t="s">
        <v>117</v>
      </c>
      <c r="E63" s="260"/>
      <c r="F63" s="260"/>
      <c r="G63" s="260"/>
    </row>
  </sheetData>
  <mergeCells count="20">
    <mergeCell ref="D63:G63"/>
    <mergeCell ref="A1:B1"/>
    <mergeCell ref="A2:B2"/>
    <mergeCell ref="C1:D1"/>
    <mergeCell ref="C2:D2"/>
    <mergeCell ref="A58:D58"/>
    <mergeCell ref="A59:D59"/>
    <mergeCell ref="A60:D60"/>
    <mergeCell ref="A61:D61"/>
    <mergeCell ref="A3:A5"/>
    <mergeCell ref="B3:B5"/>
    <mergeCell ref="D3:D5"/>
    <mergeCell ref="E3:E4"/>
    <mergeCell ref="F3:F4"/>
    <mergeCell ref="G3:G4"/>
    <mergeCell ref="I57:J57"/>
    <mergeCell ref="A56:D56"/>
    <mergeCell ref="A57:D57"/>
    <mergeCell ref="I42:K42"/>
    <mergeCell ref="I43:K4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67" fitToHeight="0" orientation="portrait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121F3-845F-4067-A486-8A07E61B57EF}">
  <sheetPr>
    <pageSetUpPr fitToPage="1"/>
  </sheetPr>
  <dimension ref="A1:K63"/>
  <sheetViews>
    <sheetView zoomScale="122" workbookViewId="0">
      <selection activeCell="F8" sqref="F8"/>
    </sheetView>
  </sheetViews>
  <sheetFormatPr defaultColWidth="9.140625" defaultRowHeight="11.25" x14ac:dyDescent="0.2"/>
  <cols>
    <col min="1" max="1" width="4.85546875" style="11" bestFit="1" customWidth="1"/>
    <col min="2" max="2" width="8.7109375" style="11" bestFit="1" customWidth="1"/>
    <col min="3" max="3" width="12.5703125" style="11" bestFit="1" customWidth="1"/>
    <col min="4" max="4" width="24.7109375" style="11" customWidth="1"/>
    <col min="5" max="7" width="9.140625" style="11"/>
    <col min="8" max="8" width="2.7109375" style="11" customWidth="1"/>
    <col min="9" max="9" width="9.28515625" style="11" bestFit="1" customWidth="1"/>
    <col min="10" max="10" width="9.140625" style="11" bestFit="1" customWidth="1"/>
    <col min="11" max="11" width="11.140625" style="11" bestFit="1" customWidth="1"/>
    <col min="12" max="13" width="12.5703125" style="11" bestFit="1" customWidth="1"/>
    <col min="14" max="256" width="9.140625" style="11"/>
    <col min="257" max="257" width="4.85546875" style="11" bestFit="1" customWidth="1"/>
    <col min="258" max="258" width="8.7109375" style="11" bestFit="1" customWidth="1"/>
    <col min="259" max="259" width="12.5703125" style="11" bestFit="1" customWidth="1"/>
    <col min="260" max="260" width="24.7109375" style="11" customWidth="1"/>
    <col min="261" max="263" width="9.140625" style="11"/>
    <col min="264" max="264" width="2.7109375" style="11" customWidth="1"/>
    <col min="265" max="265" width="9.28515625" style="11" bestFit="1" customWidth="1"/>
    <col min="266" max="266" width="7.85546875" style="11" bestFit="1" customWidth="1"/>
    <col min="267" max="267" width="11.140625" style="11" bestFit="1" customWidth="1"/>
    <col min="268" max="269" width="12.5703125" style="11" bestFit="1" customWidth="1"/>
    <col min="270" max="512" width="9.140625" style="11"/>
    <col min="513" max="513" width="4.85546875" style="11" bestFit="1" customWidth="1"/>
    <col min="514" max="514" width="8.7109375" style="11" bestFit="1" customWidth="1"/>
    <col min="515" max="515" width="12.5703125" style="11" bestFit="1" customWidth="1"/>
    <col min="516" max="516" width="24.7109375" style="11" customWidth="1"/>
    <col min="517" max="519" width="9.140625" style="11"/>
    <col min="520" max="520" width="2.7109375" style="11" customWidth="1"/>
    <col min="521" max="521" width="9.28515625" style="11" bestFit="1" customWidth="1"/>
    <col min="522" max="522" width="7.85546875" style="11" bestFit="1" customWidth="1"/>
    <col min="523" max="523" width="11.140625" style="11" bestFit="1" customWidth="1"/>
    <col min="524" max="525" width="12.5703125" style="11" bestFit="1" customWidth="1"/>
    <col min="526" max="768" width="9.140625" style="11"/>
    <col min="769" max="769" width="4.85546875" style="11" bestFit="1" customWidth="1"/>
    <col min="770" max="770" width="8.7109375" style="11" bestFit="1" customWidth="1"/>
    <col min="771" max="771" width="12.5703125" style="11" bestFit="1" customWidth="1"/>
    <col min="772" max="772" width="24.7109375" style="11" customWidth="1"/>
    <col min="773" max="775" width="9.140625" style="11"/>
    <col min="776" max="776" width="2.7109375" style="11" customWidth="1"/>
    <col min="777" max="777" width="9.28515625" style="11" bestFit="1" customWidth="1"/>
    <col min="778" max="778" width="7.85546875" style="11" bestFit="1" customWidth="1"/>
    <col min="779" max="779" width="11.140625" style="11" bestFit="1" customWidth="1"/>
    <col min="780" max="781" width="12.5703125" style="11" bestFit="1" customWidth="1"/>
    <col min="782" max="1024" width="9.140625" style="11"/>
    <col min="1025" max="1025" width="4.85546875" style="11" bestFit="1" customWidth="1"/>
    <col min="1026" max="1026" width="8.7109375" style="11" bestFit="1" customWidth="1"/>
    <col min="1027" max="1027" width="12.5703125" style="11" bestFit="1" customWidth="1"/>
    <col min="1028" max="1028" width="24.7109375" style="11" customWidth="1"/>
    <col min="1029" max="1031" width="9.140625" style="11"/>
    <col min="1032" max="1032" width="2.7109375" style="11" customWidth="1"/>
    <col min="1033" max="1033" width="9.28515625" style="11" bestFit="1" customWidth="1"/>
    <col min="1034" max="1034" width="7.85546875" style="11" bestFit="1" customWidth="1"/>
    <col min="1035" max="1035" width="11.140625" style="11" bestFit="1" customWidth="1"/>
    <col min="1036" max="1037" width="12.5703125" style="11" bestFit="1" customWidth="1"/>
    <col min="1038" max="1280" width="9.140625" style="11"/>
    <col min="1281" max="1281" width="4.85546875" style="11" bestFit="1" customWidth="1"/>
    <col min="1282" max="1282" width="8.7109375" style="11" bestFit="1" customWidth="1"/>
    <col min="1283" max="1283" width="12.5703125" style="11" bestFit="1" customWidth="1"/>
    <col min="1284" max="1284" width="24.7109375" style="11" customWidth="1"/>
    <col min="1285" max="1287" width="9.140625" style="11"/>
    <col min="1288" max="1288" width="2.7109375" style="11" customWidth="1"/>
    <col min="1289" max="1289" width="9.28515625" style="11" bestFit="1" customWidth="1"/>
    <col min="1290" max="1290" width="7.85546875" style="11" bestFit="1" customWidth="1"/>
    <col min="1291" max="1291" width="11.140625" style="11" bestFit="1" customWidth="1"/>
    <col min="1292" max="1293" width="12.5703125" style="11" bestFit="1" customWidth="1"/>
    <col min="1294" max="1536" width="9.140625" style="11"/>
    <col min="1537" max="1537" width="4.85546875" style="11" bestFit="1" customWidth="1"/>
    <col min="1538" max="1538" width="8.7109375" style="11" bestFit="1" customWidth="1"/>
    <col min="1539" max="1539" width="12.5703125" style="11" bestFit="1" customWidth="1"/>
    <col min="1540" max="1540" width="24.7109375" style="11" customWidth="1"/>
    <col min="1541" max="1543" width="9.140625" style="11"/>
    <col min="1544" max="1544" width="2.7109375" style="11" customWidth="1"/>
    <col min="1545" max="1545" width="9.28515625" style="11" bestFit="1" customWidth="1"/>
    <col min="1546" max="1546" width="7.85546875" style="11" bestFit="1" customWidth="1"/>
    <col min="1547" max="1547" width="11.140625" style="11" bestFit="1" customWidth="1"/>
    <col min="1548" max="1549" width="12.5703125" style="11" bestFit="1" customWidth="1"/>
    <col min="1550" max="1792" width="9.140625" style="11"/>
    <col min="1793" max="1793" width="4.85546875" style="11" bestFit="1" customWidth="1"/>
    <col min="1794" max="1794" width="8.7109375" style="11" bestFit="1" customWidth="1"/>
    <col min="1795" max="1795" width="12.5703125" style="11" bestFit="1" customWidth="1"/>
    <col min="1796" max="1796" width="24.7109375" style="11" customWidth="1"/>
    <col min="1797" max="1799" width="9.140625" style="11"/>
    <col min="1800" max="1800" width="2.7109375" style="11" customWidth="1"/>
    <col min="1801" max="1801" width="9.28515625" style="11" bestFit="1" customWidth="1"/>
    <col min="1802" max="1802" width="7.85546875" style="11" bestFit="1" customWidth="1"/>
    <col min="1803" max="1803" width="11.140625" style="11" bestFit="1" customWidth="1"/>
    <col min="1804" max="1805" width="12.5703125" style="11" bestFit="1" customWidth="1"/>
    <col min="1806" max="2048" width="9.140625" style="11"/>
    <col min="2049" max="2049" width="4.85546875" style="11" bestFit="1" customWidth="1"/>
    <col min="2050" max="2050" width="8.7109375" style="11" bestFit="1" customWidth="1"/>
    <col min="2051" max="2051" width="12.5703125" style="11" bestFit="1" customWidth="1"/>
    <col min="2052" max="2052" width="24.7109375" style="11" customWidth="1"/>
    <col min="2053" max="2055" width="9.140625" style="11"/>
    <col min="2056" max="2056" width="2.7109375" style="11" customWidth="1"/>
    <col min="2057" max="2057" width="9.28515625" style="11" bestFit="1" customWidth="1"/>
    <col min="2058" max="2058" width="7.85546875" style="11" bestFit="1" customWidth="1"/>
    <col min="2059" max="2059" width="11.140625" style="11" bestFit="1" customWidth="1"/>
    <col min="2060" max="2061" width="12.5703125" style="11" bestFit="1" customWidth="1"/>
    <col min="2062" max="2304" width="9.140625" style="11"/>
    <col min="2305" max="2305" width="4.85546875" style="11" bestFit="1" customWidth="1"/>
    <col min="2306" max="2306" width="8.7109375" style="11" bestFit="1" customWidth="1"/>
    <col min="2307" max="2307" width="12.5703125" style="11" bestFit="1" customWidth="1"/>
    <col min="2308" max="2308" width="24.7109375" style="11" customWidth="1"/>
    <col min="2309" max="2311" width="9.140625" style="11"/>
    <col min="2312" max="2312" width="2.7109375" style="11" customWidth="1"/>
    <col min="2313" max="2313" width="9.28515625" style="11" bestFit="1" customWidth="1"/>
    <col min="2314" max="2314" width="7.85546875" style="11" bestFit="1" customWidth="1"/>
    <col min="2315" max="2315" width="11.140625" style="11" bestFit="1" customWidth="1"/>
    <col min="2316" max="2317" width="12.5703125" style="11" bestFit="1" customWidth="1"/>
    <col min="2318" max="2560" width="9.140625" style="11"/>
    <col min="2561" max="2561" width="4.85546875" style="11" bestFit="1" customWidth="1"/>
    <col min="2562" max="2562" width="8.7109375" style="11" bestFit="1" customWidth="1"/>
    <col min="2563" max="2563" width="12.5703125" style="11" bestFit="1" customWidth="1"/>
    <col min="2564" max="2564" width="24.7109375" style="11" customWidth="1"/>
    <col min="2565" max="2567" width="9.140625" style="11"/>
    <col min="2568" max="2568" width="2.7109375" style="11" customWidth="1"/>
    <col min="2569" max="2569" width="9.28515625" style="11" bestFit="1" customWidth="1"/>
    <col min="2570" max="2570" width="7.85546875" style="11" bestFit="1" customWidth="1"/>
    <col min="2571" max="2571" width="11.140625" style="11" bestFit="1" customWidth="1"/>
    <col min="2572" max="2573" width="12.5703125" style="11" bestFit="1" customWidth="1"/>
    <col min="2574" max="2816" width="9.140625" style="11"/>
    <col min="2817" max="2817" width="4.85546875" style="11" bestFit="1" customWidth="1"/>
    <col min="2818" max="2818" width="8.7109375" style="11" bestFit="1" customWidth="1"/>
    <col min="2819" max="2819" width="12.5703125" style="11" bestFit="1" customWidth="1"/>
    <col min="2820" max="2820" width="24.7109375" style="11" customWidth="1"/>
    <col min="2821" max="2823" width="9.140625" style="11"/>
    <col min="2824" max="2824" width="2.7109375" style="11" customWidth="1"/>
    <col min="2825" max="2825" width="9.28515625" style="11" bestFit="1" customWidth="1"/>
    <col min="2826" max="2826" width="7.85546875" style="11" bestFit="1" customWidth="1"/>
    <col min="2827" max="2827" width="11.140625" style="11" bestFit="1" customWidth="1"/>
    <col min="2828" max="2829" width="12.5703125" style="11" bestFit="1" customWidth="1"/>
    <col min="2830" max="3072" width="9.140625" style="11"/>
    <col min="3073" max="3073" width="4.85546875" style="11" bestFit="1" customWidth="1"/>
    <col min="3074" max="3074" width="8.7109375" style="11" bestFit="1" customWidth="1"/>
    <col min="3075" max="3075" width="12.5703125" style="11" bestFit="1" customWidth="1"/>
    <col min="3076" max="3076" width="24.7109375" style="11" customWidth="1"/>
    <col min="3077" max="3079" width="9.140625" style="11"/>
    <col min="3080" max="3080" width="2.7109375" style="11" customWidth="1"/>
    <col min="3081" max="3081" width="9.28515625" style="11" bestFit="1" customWidth="1"/>
    <col min="3082" max="3082" width="7.85546875" style="11" bestFit="1" customWidth="1"/>
    <col min="3083" max="3083" width="11.140625" style="11" bestFit="1" customWidth="1"/>
    <col min="3084" max="3085" width="12.5703125" style="11" bestFit="1" customWidth="1"/>
    <col min="3086" max="3328" width="9.140625" style="11"/>
    <col min="3329" max="3329" width="4.85546875" style="11" bestFit="1" customWidth="1"/>
    <col min="3330" max="3330" width="8.7109375" style="11" bestFit="1" customWidth="1"/>
    <col min="3331" max="3331" width="12.5703125" style="11" bestFit="1" customWidth="1"/>
    <col min="3332" max="3332" width="24.7109375" style="11" customWidth="1"/>
    <col min="3333" max="3335" width="9.140625" style="11"/>
    <col min="3336" max="3336" width="2.7109375" style="11" customWidth="1"/>
    <col min="3337" max="3337" width="9.28515625" style="11" bestFit="1" customWidth="1"/>
    <col min="3338" max="3338" width="7.85546875" style="11" bestFit="1" customWidth="1"/>
    <col min="3339" max="3339" width="11.140625" style="11" bestFit="1" customWidth="1"/>
    <col min="3340" max="3341" width="12.5703125" style="11" bestFit="1" customWidth="1"/>
    <col min="3342" max="3584" width="9.140625" style="11"/>
    <col min="3585" max="3585" width="4.85546875" style="11" bestFit="1" customWidth="1"/>
    <col min="3586" max="3586" width="8.7109375" style="11" bestFit="1" customWidth="1"/>
    <col min="3587" max="3587" width="12.5703125" style="11" bestFit="1" customWidth="1"/>
    <col min="3588" max="3588" width="24.7109375" style="11" customWidth="1"/>
    <col min="3589" max="3591" width="9.140625" style="11"/>
    <col min="3592" max="3592" width="2.7109375" style="11" customWidth="1"/>
    <col min="3593" max="3593" width="9.28515625" style="11" bestFit="1" customWidth="1"/>
    <col min="3594" max="3594" width="7.85546875" style="11" bestFit="1" customWidth="1"/>
    <col min="3595" max="3595" width="11.140625" style="11" bestFit="1" customWidth="1"/>
    <col min="3596" max="3597" width="12.5703125" style="11" bestFit="1" customWidth="1"/>
    <col min="3598" max="3840" width="9.140625" style="11"/>
    <col min="3841" max="3841" width="4.85546875" style="11" bestFit="1" customWidth="1"/>
    <col min="3842" max="3842" width="8.7109375" style="11" bestFit="1" customWidth="1"/>
    <col min="3843" max="3843" width="12.5703125" style="11" bestFit="1" customWidth="1"/>
    <col min="3844" max="3844" width="24.7109375" style="11" customWidth="1"/>
    <col min="3845" max="3847" width="9.140625" style="11"/>
    <col min="3848" max="3848" width="2.7109375" style="11" customWidth="1"/>
    <col min="3849" max="3849" width="9.28515625" style="11" bestFit="1" customWidth="1"/>
    <col min="3850" max="3850" width="7.85546875" style="11" bestFit="1" customWidth="1"/>
    <col min="3851" max="3851" width="11.140625" style="11" bestFit="1" customWidth="1"/>
    <col min="3852" max="3853" width="12.5703125" style="11" bestFit="1" customWidth="1"/>
    <col min="3854" max="4096" width="9.140625" style="11"/>
    <col min="4097" max="4097" width="4.85546875" style="11" bestFit="1" customWidth="1"/>
    <col min="4098" max="4098" width="8.7109375" style="11" bestFit="1" customWidth="1"/>
    <col min="4099" max="4099" width="12.5703125" style="11" bestFit="1" customWidth="1"/>
    <col min="4100" max="4100" width="24.7109375" style="11" customWidth="1"/>
    <col min="4101" max="4103" width="9.140625" style="11"/>
    <col min="4104" max="4104" width="2.7109375" style="11" customWidth="1"/>
    <col min="4105" max="4105" width="9.28515625" style="11" bestFit="1" customWidth="1"/>
    <col min="4106" max="4106" width="7.85546875" style="11" bestFit="1" customWidth="1"/>
    <col min="4107" max="4107" width="11.140625" style="11" bestFit="1" customWidth="1"/>
    <col min="4108" max="4109" width="12.5703125" style="11" bestFit="1" customWidth="1"/>
    <col min="4110" max="4352" width="9.140625" style="11"/>
    <col min="4353" max="4353" width="4.85546875" style="11" bestFit="1" customWidth="1"/>
    <col min="4354" max="4354" width="8.7109375" style="11" bestFit="1" customWidth="1"/>
    <col min="4355" max="4355" width="12.5703125" style="11" bestFit="1" customWidth="1"/>
    <col min="4356" max="4356" width="24.7109375" style="11" customWidth="1"/>
    <col min="4357" max="4359" width="9.140625" style="11"/>
    <col min="4360" max="4360" width="2.7109375" style="11" customWidth="1"/>
    <col min="4361" max="4361" width="9.28515625" style="11" bestFit="1" customWidth="1"/>
    <col min="4362" max="4362" width="7.85546875" style="11" bestFit="1" customWidth="1"/>
    <col min="4363" max="4363" width="11.140625" style="11" bestFit="1" customWidth="1"/>
    <col min="4364" max="4365" width="12.5703125" style="11" bestFit="1" customWidth="1"/>
    <col min="4366" max="4608" width="9.140625" style="11"/>
    <col min="4609" max="4609" width="4.85546875" style="11" bestFit="1" customWidth="1"/>
    <col min="4610" max="4610" width="8.7109375" style="11" bestFit="1" customWidth="1"/>
    <col min="4611" max="4611" width="12.5703125" style="11" bestFit="1" customWidth="1"/>
    <col min="4612" max="4612" width="24.7109375" style="11" customWidth="1"/>
    <col min="4613" max="4615" width="9.140625" style="11"/>
    <col min="4616" max="4616" width="2.7109375" style="11" customWidth="1"/>
    <col min="4617" max="4617" width="9.28515625" style="11" bestFit="1" customWidth="1"/>
    <col min="4618" max="4618" width="7.85546875" style="11" bestFit="1" customWidth="1"/>
    <col min="4619" max="4619" width="11.140625" style="11" bestFit="1" customWidth="1"/>
    <col min="4620" max="4621" width="12.5703125" style="11" bestFit="1" customWidth="1"/>
    <col min="4622" max="4864" width="9.140625" style="11"/>
    <col min="4865" max="4865" width="4.85546875" style="11" bestFit="1" customWidth="1"/>
    <col min="4866" max="4866" width="8.7109375" style="11" bestFit="1" customWidth="1"/>
    <col min="4867" max="4867" width="12.5703125" style="11" bestFit="1" customWidth="1"/>
    <col min="4868" max="4868" width="24.7109375" style="11" customWidth="1"/>
    <col min="4869" max="4871" width="9.140625" style="11"/>
    <col min="4872" max="4872" width="2.7109375" style="11" customWidth="1"/>
    <col min="4873" max="4873" width="9.28515625" style="11" bestFit="1" customWidth="1"/>
    <col min="4874" max="4874" width="7.85546875" style="11" bestFit="1" customWidth="1"/>
    <col min="4875" max="4875" width="11.140625" style="11" bestFit="1" customWidth="1"/>
    <col min="4876" max="4877" width="12.5703125" style="11" bestFit="1" customWidth="1"/>
    <col min="4878" max="5120" width="9.140625" style="11"/>
    <col min="5121" max="5121" width="4.85546875" style="11" bestFit="1" customWidth="1"/>
    <col min="5122" max="5122" width="8.7109375" style="11" bestFit="1" customWidth="1"/>
    <col min="5123" max="5123" width="12.5703125" style="11" bestFit="1" customWidth="1"/>
    <col min="5124" max="5124" width="24.7109375" style="11" customWidth="1"/>
    <col min="5125" max="5127" width="9.140625" style="11"/>
    <col min="5128" max="5128" width="2.7109375" style="11" customWidth="1"/>
    <col min="5129" max="5129" width="9.28515625" style="11" bestFit="1" customWidth="1"/>
    <col min="5130" max="5130" width="7.85546875" style="11" bestFit="1" customWidth="1"/>
    <col min="5131" max="5131" width="11.140625" style="11" bestFit="1" customWidth="1"/>
    <col min="5132" max="5133" width="12.5703125" style="11" bestFit="1" customWidth="1"/>
    <col min="5134" max="5376" width="9.140625" style="11"/>
    <col min="5377" max="5377" width="4.85546875" style="11" bestFit="1" customWidth="1"/>
    <col min="5378" max="5378" width="8.7109375" style="11" bestFit="1" customWidth="1"/>
    <col min="5379" max="5379" width="12.5703125" style="11" bestFit="1" customWidth="1"/>
    <col min="5380" max="5380" width="24.7109375" style="11" customWidth="1"/>
    <col min="5381" max="5383" width="9.140625" style="11"/>
    <col min="5384" max="5384" width="2.7109375" style="11" customWidth="1"/>
    <col min="5385" max="5385" width="9.28515625" style="11" bestFit="1" customWidth="1"/>
    <col min="5386" max="5386" width="7.85546875" style="11" bestFit="1" customWidth="1"/>
    <col min="5387" max="5387" width="11.140625" style="11" bestFit="1" customWidth="1"/>
    <col min="5388" max="5389" width="12.5703125" style="11" bestFit="1" customWidth="1"/>
    <col min="5390" max="5632" width="9.140625" style="11"/>
    <col min="5633" max="5633" width="4.85546875" style="11" bestFit="1" customWidth="1"/>
    <col min="5634" max="5634" width="8.7109375" style="11" bestFit="1" customWidth="1"/>
    <col min="5635" max="5635" width="12.5703125" style="11" bestFit="1" customWidth="1"/>
    <col min="5636" max="5636" width="24.7109375" style="11" customWidth="1"/>
    <col min="5637" max="5639" width="9.140625" style="11"/>
    <col min="5640" max="5640" width="2.7109375" style="11" customWidth="1"/>
    <col min="5641" max="5641" width="9.28515625" style="11" bestFit="1" customWidth="1"/>
    <col min="5642" max="5642" width="7.85546875" style="11" bestFit="1" customWidth="1"/>
    <col min="5643" max="5643" width="11.140625" style="11" bestFit="1" customWidth="1"/>
    <col min="5644" max="5645" width="12.5703125" style="11" bestFit="1" customWidth="1"/>
    <col min="5646" max="5888" width="9.140625" style="11"/>
    <col min="5889" max="5889" width="4.85546875" style="11" bestFit="1" customWidth="1"/>
    <col min="5890" max="5890" width="8.7109375" style="11" bestFit="1" customWidth="1"/>
    <col min="5891" max="5891" width="12.5703125" style="11" bestFit="1" customWidth="1"/>
    <col min="5892" max="5892" width="24.7109375" style="11" customWidth="1"/>
    <col min="5893" max="5895" width="9.140625" style="11"/>
    <col min="5896" max="5896" width="2.7109375" style="11" customWidth="1"/>
    <col min="5897" max="5897" width="9.28515625" style="11" bestFit="1" customWidth="1"/>
    <col min="5898" max="5898" width="7.85546875" style="11" bestFit="1" customWidth="1"/>
    <col min="5899" max="5899" width="11.140625" style="11" bestFit="1" customWidth="1"/>
    <col min="5900" max="5901" width="12.5703125" style="11" bestFit="1" customWidth="1"/>
    <col min="5902" max="6144" width="9.140625" style="11"/>
    <col min="6145" max="6145" width="4.85546875" style="11" bestFit="1" customWidth="1"/>
    <col min="6146" max="6146" width="8.7109375" style="11" bestFit="1" customWidth="1"/>
    <col min="6147" max="6147" width="12.5703125" style="11" bestFit="1" customWidth="1"/>
    <col min="6148" max="6148" width="24.7109375" style="11" customWidth="1"/>
    <col min="6149" max="6151" width="9.140625" style="11"/>
    <col min="6152" max="6152" width="2.7109375" style="11" customWidth="1"/>
    <col min="6153" max="6153" width="9.28515625" style="11" bestFit="1" customWidth="1"/>
    <col min="6154" max="6154" width="7.85546875" style="11" bestFit="1" customWidth="1"/>
    <col min="6155" max="6155" width="11.140625" style="11" bestFit="1" customWidth="1"/>
    <col min="6156" max="6157" width="12.5703125" style="11" bestFit="1" customWidth="1"/>
    <col min="6158" max="6400" width="9.140625" style="11"/>
    <col min="6401" max="6401" width="4.85546875" style="11" bestFit="1" customWidth="1"/>
    <col min="6402" max="6402" width="8.7109375" style="11" bestFit="1" customWidth="1"/>
    <col min="6403" max="6403" width="12.5703125" style="11" bestFit="1" customWidth="1"/>
    <col min="6404" max="6404" width="24.7109375" style="11" customWidth="1"/>
    <col min="6405" max="6407" width="9.140625" style="11"/>
    <col min="6408" max="6408" width="2.7109375" style="11" customWidth="1"/>
    <col min="6409" max="6409" width="9.28515625" style="11" bestFit="1" customWidth="1"/>
    <col min="6410" max="6410" width="7.85546875" style="11" bestFit="1" customWidth="1"/>
    <col min="6411" max="6411" width="11.140625" style="11" bestFit="1" customWidth="1"/>
    <col min="6412" max="6413" width="12.5703125" style="11" bestFit="1" customWidth="1"/>
    <col min="6414" max="6656" width="9.140625" style="11"/>
    <col min="6657" max="6657" width="4.85546875" style="11" bestFit="1" customWidth="1"/>
    <col min="6658" max="6658" width="8.7109375" style="11" bestFit="1" customWidth="1"/>
    <col min="6659" max="6659" width="12.5703125" style="11" bestFit="1" customWidth="1"/>
    <col min="6660" max="6660" width="24.7109375" style="11" customWidth="1"/>
    <col min="6661" max="6663" width="9.140625" style="11"/>
    <col min="6664" max="6664" width="2.7109375" style="11" customWidth="1"/>
    <col min="6665" max="6665" width="9.28515625" style="11" bestFit="1" customWidth="1"/>
    <col min="6666" max="6666" width="7.85546875" style="11" bestFit="1" customWidth="1"/>
    <col min="6667" max="6667" width="11.140625" style="11" bestFit="1" customWidth="1"/>
    <col min="6668" max="6669" width="12.5703125" style="11" bestFit="1" customWidth="1"/>
    <col min="6670" max="6912" width="9.140625" style="11"/>
    <col min="6913" max="6913" width="4.85546875" style="11" bestFit="1" customWidth="1"/>
    <col min="6914" max="6914" width="8.7109375" style="11" bestFit="1" customWidth="1"/>
    <col min="6915" max="6915" width="12.5703125" style="11" bestFit="1" customWidth="1"/>
    <col min="6916" max="6916" width="24.7109375" style="11" customWidth="1"/>
    <col min="6917" max="6919" width="9.140625" style="11"/>
    <col min="6920" max="6920" width="2.7109375" style="11" customWidth="1"/>
    <col min="6921" max="6921" width="9.28515625" style="11" bestFit="1" customWidth="1"/>
    <col min="6922" max="6922" width="7.85546875" style="11" bestFit="1" customWidth="1"/>
    <col min="6923" max="6923" width="11.140625" style="11" bestFit="1" customWidth="1"/>
    <col min="6924" max="6925" width="12.5703125" style="11" bestFit="1" customWidth="1"/>
    <col min="6926" max="7168" width="9.140625" style="11"/>
    <col min="7169" max="7169" width="4.85546875" style="11" bestFit="1" customWidth="1"/>
    <col min="7170" max="7170" width="8.7109375" style="11" bestFit="1" customWidth="1"/>
    <col min="7171" max="7171" width="12.5703125" style="11" bestFit="1" customWidth="1"/>
    <col min="7172" max="7172" width="24.7109375" style="11" customWidth="1"/>
    <col min="7173" max="7175" width="9.140625" style="11"/>
    <col min="7176" max="7176" width="2.7109375" style="11" customWidth="1"/>
    <col min="7177" max="7177" width="9.28515625" style="11" bestFit="1" customWidth="1"/>
    <col min="7178" max="7178" width="7.85546875" style="11" bestFit="1" customWidth="1"/>
    <col min="7179" max="7179" width="11.140625" style="11" bestFit="1" customWidth="1"/>
    <col min="7180" max="7181" width="12.5703125" style="11" bestFit="1" customWidth="1"/>
    <col min="7182" max="7424" width="9.140625" style="11"/>
    <col min="7425" max="7425" width="4.85546875" style="11" bestFit="1" customWidth="1"/>
    <col min="7426" max="7426" width="8.7109375" style="11" bestFit="1" customWidth="1"/>
    <col min="7427" max="7427" width="12.5703125" style="11" bestFit="1" customWidth="1"/>
    <col min="7428" max="7428" width="24.7109375" style="11" customWidth="1"/>
    <col min="7429" max="7431" width="9.140625" style="11"/>
    <col min="7432" max="7432" width="2.7109375" style="11" customWidth="1"/>
    <col min="7433" max="7433" width="9.28515625" style="11" bestFit="1" customWidth="1"/>
    <col min="7434" max="7434" width="7.85546875" style="11" bestFit="1" customWidth="1"/>
    <col min="7435" max="7435" width="11.140625" style="11" bestFit="1" customWidth="1"/>
    <col min="7436" max="7437" width="12.5703125" style="11" bestFit="1" customWidth="1"/>
    <col min="7438" max="7680" width="9.140625" style="11"/>
    <col min="7681" max="7681" width="4.85546875" style="11" bestFit="1" customWidth="1"/>
    <col min="7682" max="7682" width="8.7109375" style="11" bestFit="1" customWidth="1"/>
    <col min="7683" max="7683" width="12.5703125" style="11" bestFit="1" customWidth="1"/>
    <col min="7684" max="7684" width="24.7109375" style="11" customWidth="1"/>
    <col min="7685" max="7687" width="9.140625" style="11"/>
    <col min="7688" max="7688" width="2.7109375" style="11" customWidth="1"/>
    <col min="7689" max="7689" width="9.28515625" style="11" bestFit="1" customWidth="1"/>
    <col min="7690" max="7690" width="7.85546875" style="11" bestFit="1" customWidth="1"/>
    <col min="7691" max="7691" width="11.140625" style="11" bestFit="1" customWidth="1"/>
    <col min="7692" max="7693" width="12.5703125" style="11" bestFit="1" customWidth="1"/>
    <col min="7694" max="7936" width="9.140625" style="11"/>
    <col min="7937" max="7937" width="4.85546875" style="11" bestFit="1" customWidth="1"/>
    <col min="7938" max="7938" width="8.7109375" style="11" bestFit="1" customWidth="1"/>
    <col min="7939" max="7939" width="12.5703125" style="11" bestFit="1" customWidth="1"/>
    <col min="7940" max="7940" width="24.7109375" style="11" customWidth="1"/>
    <col min="7941" max="7943" width="9.140625" style="11"/>
    <col min="7944" max="7944" width="2.7109375" style="11" customWidth="1"/>
    <col min="7945" max="7945" width="9.28515625" style="11" bestFit="1" customWidth="1"/>
    <col min="7946" max="7946" width="7.85546875" style="11" bestFit="1" customWidth="1"/>
    <col min="7947" max="7947" width="11.140625" style="11" bestFit="1" customWidth="1"/>
    <col min="7948" max="7949" width="12.5703125" style="11" bestFit="1" customWidth="1"/>
    <col min="7950" max="8192" width="9.140625" style="11"/>
    <col min="8193" max="8193" width="4.85546875" style="11" bestFit="1" customWidth="1"/>
    <col min="8194" max="8194" width="8.7109375" style="11" bestFit="1" customWidth="1"/>
    <col min="8195" max="8195" width="12.5703125" style="11" bestFit="1" customWidth="1"/>
    <col min="8196" max="8196" width="24.7109375" style="11" customWidth="1"/>
    <col min="8197" max="8199" width="9.140625" style="11"/>
    <col min="8200" max="8200" width="2.7109375" style="11" customWidth="1"/>
    <col min="8201" max="8201" width="9.28515625" style="11" bestFit="1" customWidth="1"/>
    <col min="8202" max="8202" width="7.85546875" style="11" bestFit="1" customWidth="1"/>
    <col min="8203" max="8203" width="11.140625" style="11" bestFit="1" customWidth="1"/>
    <col min="8204" max="8205" width="12.5703125" style="11" bestFit="1" customWidth="1"/>
    <col min="8206" max="8448" width="9.140625" style="11"/>
    <col min="8449" max="8449" width="4.85546875" style="11" bestFit="1" customWidth="1"/>
    <col min="8450" max="8450" width="8.7109375" style="11" bestFit="1" customWidth="1"/>
    <col min="8451" max="8451" width="12.5703125" style="11" bestFit="1" customWidth="1"/>
    <col min="8452" max="8452" width="24.7109375" style="11" customWidth="1"/>
    <col min="8453" max="8455" width="9.140625" style="11"/>
    <col min="8456" max="8456" width="2.7109375" style="11" customWidth="1"/>
    <col min="8457" max="8457" width="9.28515625" style="11" bestFit="1" customWidth="1"/>
    <col min="8458" max="8458" width="7.85546875" style="11" bestFit="1" customWidth="1"/>
    <col min="8459" max="8459" width="11.140625" style="11" bestFit="1" customWidth="1"/>
    <col min="8460" max="8461" width="12.5703125" style="11" bestFit="1" customWidth="1"/>
    <col min="8462" max="8704" width="9.140625" style="11"/>
    <col min="8705" max="8705" width="4.85546875" style="11" bestFit="1" customWidth="1"/>
    <col min="8706" max="8706" width="8.7109375" style="11" bestFit="1" customWidth="1"/>
    <col min="8707" max="8707" width="12.5703125" style="11" bestFit="1" customWidth="1"/>
    <col min="8708" max="8708" width="24.7109375" style="11" customWidth="1"/>
    <col min="8709" max="8711" width="9.140625" style="11"/>
    <col min="8712" max="8712" width="2.7109375" style="11" customWidth="1"/>
    <col min="8713" max="8713" width="9.28515625" style="11" bestFit="1" customWidth="1"/>
    <col min="8714" max="8714" width="7.85546875" style="11" bestFit="1" customWidth="1"/>
    <col min="8715" max="8715" width="11.140625" style="11" bestFit="1" customWidth="1"/>
    <col min="8716" max="8717" width="12.5703125" style="11" bestFit="1" customWidth="1"/>
    <col min="8718" max="8960" width="9.140625" style="11"/>
    <col min="8961" max="8961" width="4.85546875" style="11" bestFit="1" customWidth="1"/>
    <col min="8962" max="8962" width="8.7109375" style="11" bestFit="1" customWidth="1"/>
    <col min="8963" max="8963" width="12.5703125" style="11" bestFit="1" customWidth="1"/>
    <col min="8964" max="8964" width="24.7109375" style="11" customWidth="1"/>
    <col min="8965" max="8967" width="9.140625" style="11"/>
    <col min="8968" max="8968" width="2.7109375" style="11" customWidth="1"/>
    <col min="8969" max="8969" width="9.28515625" style="11" bestFit="1" customWidth="1"/>
    <col min="8970" max="8970" width="7.85546875" style="11" bestFit="1" customWidth="1"/>
    <col min="8971" max="8971" width="11.140625" style="11" bestFit="1" customWidth="1"/>
    <col min="8972" max="8973" width="12.5703125" style="11" bestFit="1" customWidth="1"/>
    <col min="8974" max="9216" width="9.140625" style="11"/>
    <col min="9217" max="9217" width="4.85546875" style="11" bestFit="1" customWidth="1"/>
    <col min="9218" max="9218" width="8.7109375" style="11" bestFit="1" customWidth="1"/>
    <col min="9219" max="9219" width="12.5703125" style="11" bestFit="1" customWidth="1"/>
    <col min="9220" max="9220" width="24.7109375" style="11" customWidth="1"/>
    <col min="9221" max="9223" width="9.140625" style="11"/>
    <col min="9224" max="9224" width="2.7109375" style="11" customWidth="1"/>
    <col min="9225" max="9225" width="9.28515625" style="11" bestFit="1" customWidth="1"/>
    <col min="9226" max="9226" width="7.85546875" style="11" bestFit="1" customWidth="1"/>
    <col min="9227" max="9227" width="11.140625" style="11" bestFit="1" customWidth="1"/>
    <col min="9228" max="9229" width="12.5703125" style="11" bestFit="1" customWidth="1"/>
    <col min="9230" max="9472" width="9.140625" style="11"/>
    <col min="9473" max="9473" width="4.85546875" style="11" bestFit="1" customWidth="1"/>
    <col min="9474" max="9474" width="8.7109375" style="11" bestFit="1" customWidth="1"/>
    <col min="9475" max="9475" width="12.5703125" style="11" bestFit="1" customWidth="1"/>
    <col min="9476" max="9476" width="24.7109375" style="11" customWidth="1"/>
    <col min="9477" max="9479" width="9.140625" style="11"/>
    <col min="9480" max="9480" width="2.7109375" style="11" customWidth="1"/>
    <col min="9481" max="9481" width="9.28515625" style="11" bestFit="1" customWidth="1"/>
    <col min="9482" max="9482" width="7.85546875" style="11" bestFit="1" customWidth="1"/>
    <col min="9483" max="9483" width="11.140625" style="11" bestFit="1" customWidth="1"/>
    <col min="9484" max="9485" width="12.5703125" style="11" bestFit="1" customWidth="1"/>
    <col min="9486" max="9728" width="9.140625" style="11"/>
    <col min="9729" max="9729" width="4.85546875" style="11" bestFit="1" customWidth="1"/>
    <col min="9730" max="9730" width="8.7109375" style="11" bestFit="1" customWidth="1"/>
    <col min="9731" max="9731" width="12.5703125" style="11" bestFit="1" customWidth="1"/>
    <col min="9732" max="9732" width="24.7109375" style="11" customWidth="1"/>
    <col min="9733" max="9735" width="9.140625" style="11"/>
    <col min="9736" max="9736" width="2.7109375" style="11" customWidth="1"/>
    <col min="9737" max="9737" width="9.28515625" style="11" bestFit="1" customWidth="1"/>
    <col min="9738" max="9738" width="7.85546875" style="11" bestFit="1" customWidth="1"/>
    <col min="9739" max="9739" width="11.140625" style="11" bestFit="1" customWidth="1"/>
    <col min="9740" max="9741" width="12.5703125" style="11" bestFit="1" customWidth="1"/>
    <col min="9742" max="9984" width="9.140625" style="11"/>
    <col min="9985" max="9985" width="4.85546875" style="11" bestFit="1" customWidth="1"/>
    <col min="9986" max="9986" width="8.7109375" style="11" bestFit="1" customWidth="1"/>
    <col min="9987" max="9987" width="12.5703125" style="11" bestFit="1" customWidth="1"/>
    <col min="9988" max="9988" width="24.7109375" style="11" customWidth="1"/>
    <col min="9989" max="9991" width="9.140625" style="11"/>
    <col min="9992" max="9992" width="2.7109375" style="11" customWidth="1"/>
    <col min="9993" max="9993" width="9.28515625" style="11" bestFit="1" customWidth="1"/>
    <col min="9994" max="9994" width="7.85546875" style="11" bestFit="1" customWidth="1"/>
    <col min="9995" max="9995" width="11.140625" style="11" bestFit="1" customWidth="1"/>
    <col min="9996" max="9997" width="12.5703125" style="11" bestFit="1" customWidth="1"/>
    <col min="9998" max="10240" width="9.140625" style="11"/>
    <col min="10241" max="10241" width="4.85546875" style="11" bestFit="1" customWidth="1"/>
    <col min="10242" max="10242" width="8.7109375" style="11" bestFit="1" customWidth="1"/>
    <col min="10243" max="10243" width="12.5703125" style="11" bestFit="1" customWidth="1"/>
    <col min="10244" max="10244" width="24.7109375" style="11" customWidth="1"/>
    <col min="10245" max="10247" width="9.140625" style="11"/>
    <col min="10248" max="10248" width="2.7109375" style="11" customWidth="1"/>
    <col min="10249" max="10249" width="9.28515625" style="11" bestFit="1" customWidth="1"/>
    <col min="10250" max="10250" width="7.85546875" style="11" bestFit="1" customWidth="1"/>
    <col min="10251" max="10251" width="11.140625" style="11" bestFit="1" customWidth="1"/>
    <col min="10252" max="10253" width="12.5703125" style="11" bestFit="1" customWidth="1"/>
    <col min="10254" max="10496" width="9.140625" style="11"/>
    <col min="10497" max="10497" width="4.85546875" style="11" bestFit="1" customWidth="1"/>
    <col min="10498" max="10498" width="8.7109375" style="11" bestFit="1" customWidth="1"/>
    <col min="10499" max="10499" width="12.5703125" style="11" bestFit="1" customWidth="1"/>
    <col min="10500" max="10500" width="24.7109375" style="11" customWidth="1"/>
    <col min="10501" max="10503" width="9.140625" style="11"/>
    <col min="10504" max="10504" width="2.7109375" style="11" customWidth="1"/>
    <col min="10505" max="10505" width="9.28515625" style="11" bestFit="1" customWidth="1"/>
    <col min="10506" max="10506" width="7.85546875" style="11" bestFit="1" customWidth="1"/>
    <col min="10507" max="10507" width="11.140625" style="11" bestFit="1" customWidth="1"/>
    <col min="10508" max="10509" width="12.5703125" style="11" bestFit="1" customWidth="1"/>
    <col min="10510" max="10752" width="9.140625" style="11"/>
    <col min="10753" max="10753" width="4.85546875" style="11" bestFit="1" customWidth="1"/>
    <col min="10754" max="10754" width="8.7109375" style="11" bestFit="1" customWidth="1"/>
    <col min="10755" max="10755" width="12.5703125" style="11" bestFit="1" customWidth="1"/>
    <col min="10756" max="10756" width="24.7109375" style="11" customWidth="1"/>
    <col min="10757" max="10759" width="9.140625" style="11"/>
    <col min="10760" max="10760" width="2.7109375" style="11" customWidth="1"/>
    <col min="10761" max="10761" width="9.28515625" style="11" bestFit="1" customWidth="1"/>
    <col min="10762" max="10762" width="7.85546875" style="11" bestFit="1" customWidth="1"/>
    <col min="10763" max="10763" width="11.140625" style="11" bestFit="1" customWidth="1"/>
    <col min="10764" max="10765" width="12.5703125" style="11" bestFit="1" customWidth="1"/>
    <col min="10766" max="11008" width="9.140625" style="11"/>
    <col min="11009" max="11009" width="4.85546875" style="11" bestFit="1" customWidth="1"/>
    <col min="11010" max="11010" width="8.7109375" style="11" bestFit="1" customWidth="1"/>
    <col min="11011" max="11011" width="12.5703125" style="11" bestFit="1" customWidth="1"/>
    <col min="11012" max="11012" width="24.7109375" style="11" customWidth="1"/>
    <col min="11013" max="11015" width="9.140625" style="11"/>
    <col min="11016" max="11016" width="2.7109375" style="11" customWidth="1"/>
    <col min="11017" max="11017" width="9.28515625" style="11" bestFit="1" customWidth="1"/>
    <col min="11018" max="11018" width="7.85546875" style="11" bestFit="1" customWidth="1"/>
    <col min="11019" max="11019" width="11.140625" style="11" bestFit="1" customWidth="1"/>
    <col min="11020" max="11021" width="12.5703125" style="11" bestFit="1" customWidth="1"/>
    <col min="11022" max="11264" width="9.140625" style="11"/>
    <col min="11265" max="11265" width="4.85546875" style="11" bestFit="1" customWidth="1"/>
    <col min="11266" max="11266" width="8.7109375" style="11" bestFit="1" customWidth="1"/>
    <col min="11267" max="11267" width="12.5703125" style="11" bestFit="1" customWidth="1"/>
    <col min="11268" max="11268" width="24.7109375" style="11" customWidth="1"/>
    <col min="11269" max="11271" width="9.140625" style="11"/>
    <col min="11272" max="11272" width="2.7109375" style="11" customWidth="1"/>
    <col min="11273" max="11273" width="9.28515625" style="11" bestFit="1" customWidth="1"/>
    <col min="11274" max="11274" width="7.85546875" style="11" bestFit="1" customWidth="1"/>
    <col min="11275" max="11275" width="11.140625" style="11" bestFit="1" customWidth="1"/>
    <col min="11276" max="11277" width="12.5703125" style="11" bestFit="1" customWidth="1"/>
    <col min="11278" max="11520" width="9.140625" style="11"/>
    <col min="11521" max="11521" width="4.85546875" style="11" bestFit="1" customWidth="1"/>
    <col min="11522" max="11522" width="8.7109375" style="11" bestFit="1" customWidth="1"/>
    <col min="11523" max="11523" width="12.5703125" style="11" bestFit="1" customWidth="1"/>
    <col min="11524" max="11524" width="24.7109375" style="11" customWidth="1"/>
    <col min="11525" max="11527" width="9.140625" style="11"/>
    <col min="11528" max="11528" width="2.7109375" style="11" customWidth="1"/>
    <col min="11529" max="11529" width="9.28515625" style="11" bestFit="1" customWidth="1"/>
    <col min="11530" max="11530" width="7.85546875" style="11" bestFit="1" customWidth="1"/>
    <col min="11531" max="11531" width="11.140625" style="11" bestFit="1" customWidth="1"/>
    <col min="11532" max="11533" width="12.5703125" style="11" bestFit="1" customWidth="1"/>
    <col min="11534" max="11776" width="9.140625" style="11"/>
    <col min="11777" max="11777" width="4.85546875" style="11" bestFit="1" customWidth="1"/>
    <col min="11778" max="11778" width="8.7109375" style="11" bestFit="1" customWidth="1"/>
    <col min="11779" max="11779" width="12.5703125" style="11" bestFit="1" customWidth="1"/>
    <col min="11780" max="11780" width="24.7109375" style="11" customWidth="1"/>
    <col min="11781" max="11783" width="9.140625" style="11"/>
    <col min="11784" max="11784" width="2.7109375" style="11" customWidth="1"/>
    <col min="11785" max="11785" width="9.28515625" style="11" bestFit="1" customWidth="1"/>
    <col min="11786" max="11786" width="7.85546875" style="11" bestFit="1" customWidth="1"/>
    <col min="11787" max="11787" width="11.140625" style="11" bestFit="1" customWidth="1"/>
    <col min="11788" max="11789" width="12.5703125" style="11" bestFit="1" customWidth="1"/>
    <col min="11790" max="12032" width="9.140625" style="11"/>
    <col min="12033" max="12033" width="4.85546875" style="11" bestFit="1" customWidth="1"/>
    <col min="12034" max="12034" width="8.7109375" style="11" bestFit="1" customWidth="1"/>
    <col min="12035" max="12035" width="12.5703125" style="11" bestFit="1" customWidth="1"/>
    <col min="12036" max="12036" width="24.7109375" style="11" customWidth="1"/>
    <col min="12037" max="12039" width="9.140625" style="11"/>
    <col min="12040" max="12040" width="2.7109375" style="11" customWidth="1"/>
    <col min="12041" max="12041" width="9.28515625" style="11" bestFit="1" customWidth="1"/>
    <col min="12042" max="12042" width="7.85546875" style="11" bestFit="1" customWidth="1"/>
    <col min="12043" max="12043" width="11.140625" style="11" bestFit="1" customWidth="1"/>
    <col min="12044" max="12045" width="12.5703125" style="11" bestFit="1" customWidth="1"/>
    <col min="12046" max="12288" width="9.140625" style="11"/>
    <col min="12289" max="12289" width="4.85546875" style="11" bestFit="1" customWidth="1"/>
    <col min="12290" max="12290" width="8.7109375" style="11" bestFit="1" customWidth="1"/>
    <col min="12291" max="12291" width="12.5703125" style="11" bestFit="1" customWidth="1"/>
    <col min="12292" max="12292" width="24.7109375" style="11" customWidth="1"/>
    <col min="12293" max="12295" width="9.140625" style="11"/>
    <col min="12296" max="12296" width="2.7109375" style="11" customWidth="1"/>
    <col min="12297" max="12297" width="9.28515625" style="11" bestFit="1" customWidth="1"/>
    <col min="12298" max="12298" width="7.85546875" style="11" bestFit="1" customWidth="1"/>
    <col min="12299" max="12299" width="11.140625" style="11" bestFit="1" customWidth="1"/>
    <col min="12300" max="12301" width="12.5703125" style="11" bestFit="1" customWidth="1"/>
    <col min="12302" max="12544" width="9.140625" style="11"/>
    <col min="12545" max="12545" width="4.85546875" style="11" bestFit="1" customWidth="1"/>
    <col min="12546" max="12546" width="8.7109375" style="11" bestFit="1" customWidth="1"/>
    <col min="12547" max="12547" width="12.5703125" style="11" bestFit="1" customWidth="1"/>
    <col min="12548" max="12548" width="24.7109375" style="11" customWidth="1"/>
    <col min="12549" max="12551" width="9.140625" style="11"/>
    <col min="12552" max="12552" width="2.7109375" style="11" customWidth="1"/>
    <col min="12553" max="12553" width="9.28515625" style="11" bestFit="1" customWidth="1"/>
    <col min="12554" max="12554" width="7.85546875" style="11" bestFit="1" customWidth="1"/>
    <col min="12555" max="12555" width="11.140625" style="11" bestFit="1" customWidth="1"/>
    <col min="12556" max="12557" width="12.5703125" style="11" bestFit="1" customWidth="1"/>
    <col min="12558" max="12800" width="9.140625" style="11"/>
    <col min="12801" max="12801" width="4.85546875" style="11" bestFit="1" customWidth="1"/>
    <col min="12802" max="12802" width="8.7109375" style="11" bestFit="1" customWidth="1"/>
    <col min="12803" max="12803" width="12.5703125" style="11" bestFit="1" customWidth="1"/>
    <col min="12804" max="12804" width="24.7109375" style="11" customWidth="1"/>
    <col min="12805" max="12807" width="9.140625" style="11"/>
    <col min="12808" max="12808" width="2.7109375" style="11" customWidth="1"/>
    <col min="12809" max="12809" width="9.28515625" style="11" bestFit="1" customWidth="1"/>
    <col min="12810" max="12810" width="7.85546875" style="11" bestFit="1" customWidth="1"/>
    <col min="12811" max="12811" width="11.140625" style="11" bestFit="1" customWidth="1"/>
    <col min="12812" max="12813" width="12.5703125" style="11" bestFit="1" customWidth="1"/>
    <col min="12814" max="13056" width="9.140625" style="11"/>
    <col min="13057" max="13057" width="4.85546875" style="11" bestFit="1" customWidth="1"/>
    <col min="13058" max="13058" width="8.7109375" style="11" bestFit="1" customWidth="1"/>
    <col min="13059" max="13059" width="12.5703125" style="11" bestFit="1" customWidth="1"/>
    <col min="13060" max="13060" width="24.7109375" style="11" customWidth="1"/>
    <col min="13061" max="13063" width="9.140625" style="11"/>
    <col min="13064" max="13064" width="2.7109375" style="11" customWidth="1"/>
    <col min="13065" max="13065" width="9.28515625" style="11" bestFit="1" customWidth="1"/>
    <col min="13066" max="13066" width="7.85546875" style="11" bestFit="1" customWidth="1"/>
    <col min="13067" max="13067" width="11.140625" style="11" bestFit="1" customWidth="1"/>
    <col min="13068" max="13069" width="12.5703125" style="11" bestFit="1" customWidth="1"/>
    <col min="13070" max="13312" width="9.140625" style="11"/>
    <col min="13313" max="13313" width="4.85546875" style="11" bestFit="1" customWidth="1"/>
    <col min="13314" max="13314" width="8.7109375" style="11" bestFit="1" customWidth="1"/>
    <col min="13315" max="13315" width="12.5703125" style="11" bestFit="1" customWidth="1"/>
    <col min="13316" max="13316" width="24.7109375" style="11" customWidth="1"/>
    <col min="13317" max="13319" width="9.140625" style="11"/>
    <col min="13320" max="13320" width="2.7109375" style="11" customWidth="1"/>
    <col min="13321" max="13321" width="9.28515625" style="11" bestFit="1" customWidth="1"/>
    <col min="13322" max="13322" width="7.85546875" style="11" bestFit="1" customWidth="1"/>
    <col min="13323" max="13323" width="11.140625" style="11" bestFit="1" customWidth="1"/>
    <col min="13324" max="13325" width="12.5703125" style="11" bestFit="1" customWidth="1"/>
    <col min="13326" max="13568" width="9.140625" style="11"/>
    <col min="13569" max="13569" width="4.85546875" style="11" bestFit="1" customWidth="1"/>
    <col min="13570" max="13570" width="8.7109375" style="11" bestFit="1" customWidth="1"/>
    <col min="13571" max="13571" width="12.5703125" style="11" bestFit="1" customWidth="1"/>
    <col min="13572" max="13572" width="24.7109375" style="11" customWidth="1"/>
    <col min="13573" max="13575" width="9.140625" style="11"/>
    <col min="13576" max="13576" width="2.7109375" style="11" customWidth="1"/>
    <col min="13577" max="13577" width="9.28515625" style="11" bestFit="1" customWidth="1"/>
    <col min="13578" max="13578" width="7.85546875" style="11" bestFit="1" customWidth="1"/>
    <col min="13579" max="13579" width="11.140625" style="11" bestFit="1" customWidth="1"/>
    <col min="13580" max="13581" width="12.5703125" style="11" bestFit="1" customWidth="1"/>
    <col min="13582" max="13824" width="9.140625" style="11"/>
    <col min="13825" max="13825" width="4.85546875" style="11" bestFit="1" customWidth="1"/>
    <col min="13826" max="13826" width="8.7109375" style="11" bestFit="1" customWidth="1"/>
    <col min="13827" max="13827" width="12.5703125" style="11" bestFit="1" customWidth="1"/>
    <col min="13828" max="13828" width="24.7109375" style="11" customWidth="1"/>
    <col min="13829" max="13831" width="9.140625" style="11"/>
    <col min="13832" max="13832" width="2.7109375" style="11" customWidth="1"/>
    <col min="13833" max="13833" width="9.28515625" style="11" bestFit="1" customWidth="1"/>
    <col min="13834" max="13834" width="7.85546875" style="11" bestFit="1" customWidth="1"/>
    <col min="13835" max="13835" width="11.140625" style="11" bestFit="1" customWidth="1"/>
    <col min="13836" max="13837" width="12.5703125" style="11" bestFit="1" customWidth="1"/>
    <col min="13838" max="14080" width="9.140625" style="11"/>
    <col min="14081" max="14081" width="4.85546875" style="11" bestFit="1" customWidth="1"/>
    <col min="14082" max="14082" width="8.7109375" style="11" bestFit="1" customWidth="1"/>
    <col min="14083" max="14083" width="12.5703125" style="11" bestFit="1" customWidth="1"/>
    <col min="14084" max="14084" width="24.7109375" style="11" customWidth="1"/>
    <col min="14085" max="14087" width="9.140625" style="11"/>
    <col min="14088" max="14088" width="2.7109375" style="11" customWidth="1"/>
    <col min="14089" max="14089" width="9.28515625" style="11" bestFit="1" customWidth="1"/>
    <col min="14090" max="14090" width="7.85546875" style="11" bestFit="1" customWidth="1"/>
    <col min="14091" max="14091" width="11.140625" style="11" bestFit="1" customWidth="1"/>
    <col min="14092" max="14093" width="12.5703125" style="11" bestFit="1" customWidth="1"/>
    <col min="14094" max="14336" width="9.140625" style="11"/>
    <col min="14337" max="14337" width="4.85546875" style="11" bestFit="1" customWidth="1"/>
    <col min="14338" max="14338" width="8.7109375" style="11" bestFit="1" customWidth="1"/>
    <col min="14339" max="14339" width="12.5703125" style="11" bestFit="1" customWidth="1"/>
    <col min="14340" max="14340" width="24.7109375" style="11" customWidth="1"/>
    <col min="14341" max="14343" width="9.140625" style="11"/>
    <col min="14344" max="14344" width="2.7109375" style="11" customWidth="1"/>
    <col min="14345" max="14345" width="9.28515625" style="11" bestFit="1" customWidth="1"/>
    <col min="14346" max="14346" width="7.85546875" style="11" bestFit="1" customWidth="1"/>
    <col min="14347" max="14347" width="11.140625" style="11" bestFit="1" customWidth="1"/>
    <col min="14348" max="14349" width="12.5703125" style="11" bestFit="1" customWidth="1"/>
    <col min="14350" max="14592" width="9.140625" style="11"/>
    <col min="14593" max="14593" width="4.85546875" style="11" bestFit="1" customWidth="1"/>
    <col min="14594" max="14594" width="8.7109375" style="11" bestFit="1" customWidth="1"/>
    <col min="14595" max="14595" width="12.5703125" style="11" bestFit="1" customWidth="1"/>
    <col min="14596" max="14596" width="24.7109375" style="11" customWidth="1"/>
    <col min="14597" max="14599" width="9.140625" style="11"/>
    <col min="14600" max="14600" width="2.7109375" style="11" customWidth="1"/>
    <col min="14601" max="14601" width="9.28515625" style="11" bestFit="1" customWidth="1"/>
    <col min="14602" max="14602" width="7.85546875" style="11" bestFit="1" customWidth="1"/>
    <col min="14603" max="14603" width="11.140625" style="11" bestFit="1" customWidth="1"/>
    <col min="14604" max="14605" width="12.5703125" style="11" bestFit="1" customWidth="1"/>
    <col min="14606" max="14848" width="9.140625" style="11"/>
    <col min="14849" max="14849" width="4.85546875" style="11" bestFit="1" customWidth="1"/>
    <col min="14850" max="14850" width="8.7109375" style="11" bestFit="1" customWidth="1"/>
    <col min="14851" max="14851" width="12.5703125" style="11" bestFit="1" customWidth="1"/>
    <col min="14852" max="14852" width="24.7109375" style="11" customWidth="1"/>
    <col min="14853" max="14855" width="9.140625" style="11"/>
    <col min="14856" max="14856" width="2.7109375" style="11" customWidth="1"/>
    <col min="14857" max="14857" width="9.28515625" style="11" bestFit="1" customWidth="1"/>
    <col min="14858" max="14858" width="7.85546875" style="11" bestFit="1" customWidth="1"/>
    <col min="14859" max="14859" width="11.140625" style="11" bestFit="1" customWidth="1"/>
    <col min="14860" max="14861" width="12.5703125" style="11" bestFit="1" customWidth="1"/>
    <col min="14862" max="15104" width="9.140625" style="11"/>
    <col min="15105" max="15105" width="4.85546875" style="11" bestFit="1" customWidth="1"/>
    <col min="15106" max="15106" width="8.7109375" style="11" bestFit="1" customWidth="1"/>
    <col min="15107" max="15107" width="12.5703125" style="11" bestFit="1" customWidth="1"/>
    <col min="15108" max="15108" width="24.7109375" style="11" customWidth="1"/>
    <col min="15109" max="15111" width="9.140625" style="11"/>
    <col min="15112" max="15112" width="2.7109375" style="11" customWidth="1"/>
    <col min="15113" max="15113" width="9.28515625" style="11" bestFit="1" customWidth="1"/>
    <col min="15114" max="15114" width="7.85546875" style="11" bestFit="1" customWidth="1"/>
    <col min="15115" max="15115" width="11.140625" style="11" bestFit="1" customWidth="1"/>
    <col min="15116" max="15117" width="12.5703125" style="11" bestFit="1" customWidth="1"/>
    <col min="15118" max="15360" width="9.140625" style="11"/>
    <col min="15361" max="15361" width="4.85546875" style="11" bestFit="1" customWidth="1"/>
    <col min="15362" max="15362" width="8.7109375" style="11" bestFit="1" customWidth="1"/>
    <col min="15363" max="15363" width="12.5703125" style="11" bestFit="1" customWidth="1"/>
    <col min="15364" max="15364" width="24.7109375" style="11" customWidth="1"/>
    <col min="15365" max="15367" width="9.140625" style="11"/>
    <col min="15368" max="15368" width="2.7109375" style="11" customWidth="1"/>
    <col min="15369" max="15369" width="9.28515625" style="11" bestFit="1" customWidth="1"/>
    <col min="15370" max="15370" width="7.85546875" style="11" bestFit="1" customWidth="1"/>
    <col min="15371" max="15371" width="11.140625" style="11" bestFit="1" customWidth="1"/>
    <col min="15372" max="15373" width="12.5703125" style="11" bestFit="1" customWidth="1"/>
    <col min="15374" max="15616" width="9.140625" style="11"/>
    <col min="15617" max="15617" width="4.85546875" style="11" bestFit="1" customWidth="1"/>
    <col min="15618" max="15618" width="8.7109375" style="11" bestFit="1" customWidth="1"/>
    <col min="15619" max="15619" width="12.5703125" style="11" bestFit="1" customWidth="1"/>
    <col min="15620" max="15620" width="24.7109375" style="11" customWidth="1"/>
    <col min="15621" max="15623" width="9.140625" style="11"/>
    <col min="15624" max="15624" width="2.7109375" style="11" customWidth="1"/>
    <col min="15625" max="15625" width="9.28515625" style="11" bestFit="1" customWidth="1"/>
    <col min="15626" max="15626" width="7.85546875" style="11" bestFit="1" customWidth="1"/>
    <col min="15627" max="15627" width="11.140625" style="11" bestFit="1" customWidth="1"/>
    <col min="15628" max="15629" width="12.5703125" style="11" bestFit="1" customWidth="1"/>
    <col min="15630" max="15872" width="9.140625" style="11"/>
    <col min="15873" max="15873" width="4.85546875" style="11" bestFit="1" customWidth="1"/>
    <col min="15874" max="15874" width="8.7109375" style="11" bestFit="1" customWidth="1"/>
    <col min="15875" max="15875" width="12.5703125" style="11" bestFit="1" customWidth="1"/>
    <col min="15876" max="15876" width="24.7109375" style="11" customWidth="1"/>
    <col min="15877" max="15879" width="9.140625" style="11"/>
    <col min="15880" max="15880" width="2.7109375" style="11" customWidth="1"/>
    <col min="15881" max="15881" width="9.28515625" style="11" bestFit="1" customWidth="1"/>
    <col min="15882" max="15882" width="7.85546875" style="11" bestFit="1" customWidth="1"/>
    <col min="15883" max="15883" width="11.140625" style="11" bestFit="1" customWidth="1"/>
    <col min="15884" max="15885" width="12.5703125" style="11" bestFit="1" customWidth="1"/>
    <col min="15886" max="16128" width="9.140625" style="11"/>
    <col min="16129" max="16129" width="4.85546875" style="11" bestFit="1" customWidth="1"/>
    <col min="16130" max="16130" width="8.7109375" style="11" bestFit="1" customWidth="1"/>
    <col min="16131" max="16131" width="12.5703125" style="11" bestFit="1" customWidth="1"/>
    <col min="16132" max="16132" width="24.7109375" style="11" customWidth="1"/>
    <col min="16133" max="16135" width="9.140625" style="11"/>
    <col min="16136" max="16136" width="2.7109375" style="11" customWidth="1"/>
    <col min="16137" max="16137" width="9.28515625" style="11" bestFit="1" customWidth="1"/>
    <col min="16138" max="16138" width="7.85546875" style="11" bestFit="1" customWidth="1"/>
    <col min="16139" max="16139" width="11.140625" style="11" bestFit="1" customWidth="1"/>
    <col min="16140" max="16141" width="12.5703125" style="11" bestFit="1" customWidth="1"/>
    <col min="16142" max="16384" width="9.140625" style="11"/>
  </cols>
  <sheetData>
    <row r="1" spans="1:11" ht="12" customHeight="1" thickBot="1" x14ac:dyDescent="0.25">
      <c r="A1" s="261" t="s">
        <v>97</v>
      </c>
      <c r="B1" s="262"/>
      <c r="C1" s="263" t="s">
        <v>126</v>
      </c>
      <c r="D1" s="264"/>
      <c r="E1" s="33" t="s">
        <v>22</v>
      </c>
      <c r="F1" s="34">
        <f>IF(COUNTA(B6:B55)&lt;&gt;0,MIN(B6:B55),"")</f>
        <v>45975</v>
      </c>
      <c r="G1" s="34">
        <f>IF(COUNTA(B6:B55)&lt;&gt;0,MAX(B6:B55),"")</f>
        <v>45975</v>
      </c>
      <c r="I1" s="19"/>
      <c r="J1" s="19"/>
      <c r="K1" s="19"/>
    </row>
    <row r="2" spans="1:11" ht="10.9" customHeight="1" thickBot="1" x14ac:dyDescent="0.25">
      <c r="A2" s="261" t="s">
        <v>98</v>
      </c>
      <c r="B2" s="262"/>
      <c r="C2" s="263" t="s">
        <v>301</v>
      </c>
      <c r="D2" s="264"/>
      <c r="E2" s="12" t="s">
        <v>23</v>
      </c>
      <c r="F2" s="13" t="s">
        <v>24</v>
      </c>
      <c r="G2" s="49" t="s">
        <v>416</v>
      </c>
    </row>
    <row r="3" spans="1:11" ht="11.25" customHeight="1" x14ac:dyDescent="0.2">
      <c r="A3" s="265" t="s">
        <v>25</v>
      </c>
      <c r="B3" s="268" t="s">
        <v>26</v>
      </c>
      <c r="C3" s="14" t="s">
        <v>27</v>
      </c>
      <c r="D3" s="265" t="s">
        <v>8</v>
      </c>
      <c r="E3" s="271" t="s">
        <v>28</v>
      </c>
      <c r="F3" s="271" t="s">
        <v>29</v>
      </c>
      <c r="G3" s="271" t="s">
        <v>30</v>
      </c>
    </row>
    <row r="4" spans="1:11" x14ac:dyDescent="0.2">
      <c r="A4" s="266"/>
      <c r="B4" s="269"/>
      <c r="C4" s="15" t="s">
        <v>31</v>
      </c>
      <c r="D4" s="266"/>
      <c r="E4" s="272"/>
      <c r="F4" s="272"/>
      <c r="G4" s="272"/>
    </row>
    <row r="5" spans="1:11" ht="12" thickBot="1" x14ac:dyDescent="0.25">
      <c r="A5" s="267"/>
      <c r="B5" s="270"/>
      <c r="C5" s="16" t="s">
        <v>32</v>
      </c>
      <c r="D5" s="267"/>
      <c r="E5" s="16" t="s">
        <v>33</v>
      </c>
      <c r="F5" s="16" t="s">
        <v>33</v>
      </c>
      <c r="G5" s="16" t="s">
        <v>33</v>
      </c>
    </row>
    <row r="6" spans="1:11" ht="11.25" customHeight="1" x14ac:dyDescent="0.2">
      <c r="A6" s="17" t="s">
        <v>34</v>
      </c>
      <c r="B6" s="39">
        <v>45975</v>
      </c>
      <c r="C6" s="40" t="s">
        <v>402</v>
      </c>
      <c r="D6" s="41" t="s">
        <v>401</v>
      </c>
      <c r="E6" s="42"/>
      <c r="F6" s="42">
        <v>22000</v>
      </c>
      <c r="G6" s="18">
        <f>E57+E6-F6</f>
        <v>22895</v>
      </c>
    </row>
    <row r="7" spans="1:11" x14ac:dyDescent="0.2">
      <c r="A7" s="17" t="s">
        <v>35</v>
      </c>
      <c r="B7" s="39">
        <v>45975</v>
      </c>
      <c r="C7" s="40" t="s">
        <v>417</v>
      </c>
      <c r="D7" s="37" t="s">
        <v>418</v>
      </c>
      <c r="E7" s="38"/>
      <c r="F7" s="42">
        <v>22100</v>
      </c>
      <c r="G7" s="18">
        <f>G6+E7-F7</f>
        <v>795</v>
      </c>
    </row>
    <row r="8" spans="1:11" x14ac:dyDescent="0.2">
      <c r="A8" s="17" t="s">
        <v>36</v>
      </c>
      <c r="B8" s="39"/>
      <c r="C8" s="36"/>
      <c r="D8" s="37"/>
      <c r="E8" s="38"/>
      <c r="F8" s="42"/>
      <c r="G8" s="18">
        <f t="shared" ref="G8:G54" si="0">G7+E8-F8</f>
        <v>795</v>
      </c>
    </row>
    <row r="9" spans="1:11" x14ac:dyDescent="0.2">
      <c r="A9" s="17" t="s">
        <v>37</v>
      </c>
      <c r="B9" s="39"/>
      <c r="C9" s="40"/>
      <c r="D9" s="37"/>
      <c r="E9" s="38"/>
      <c r="F9" s="42"/>
      <c r="G9" s="18">
        <f>G8+E9-F9</f>
        <v>795</v>
      </c>
    </row>
    <row r="10" spans="1:11" x14ac:dyDescent="0.2">
      <c r="A10" s="17" t="s">
        <v>38</v>
      </c>
      <c r="B10" s="39"/>
      <c r="C10" s="36"/>
      <c r="D10" s="41"/>
      <c r="E10" s="42"/>
      <c r="F10" s="42"/>
      <c r="G10" s="18">
        <f t="shared" si="0"/>
        <v>795</v>
      </c>
    </row>
    <row r="11" spans="1:11" x14ac:dyDescent="0.2">
      <c r="A11" s="17" t="s">
        <v>39</v>
      </c>
      <c r="B11" s="39"/>
      <c r="C11" s="40"/>
      <c r="D11" s="41"/>
      <c r="E11" s="42"/>
      <c r="F11" s="42"/>
      <c r="G11" s="18">
        <f t="shared" si="0"/>
        <v>795</v>
      </c>
    </row>
    <row r="12" spans="1:11" x14ac:dyDescent="0.2">
      <c r="A12" s="17" t="s">
        <v>40</v>
      </c>
      <c r="B12" s="39"/>
      <c r="C12" s="40"/>
      <c r="D12" s="41"/>
      <c r="E12" s="42"/>
      <c r="F12" s="42"/>
      <c r="G12" s="18">
        <f t="shared" si="0"/>
        <v>795</v>
      </c>
    </row>
    <row r="13" spans="1:11" x14ac:dyDescent="0.2">
      <c r="A13" s="17" t="s">
        <v>41</v>
      </c>
      <c r="B13" s="39"/>
      <c r="C13" s="40"/>
      <c r="D13" s="41"/>
      <c r="E13" s="42"/>
      <c r="F13" s="42"/>
      <c r="G13" s="18">
        <f t="shared" si="0"/>
        <v>795</v>
      </c>
    </row>
    <row r="14" spans="1:11" x14ac:dyDescent="0.2">
      <c r="A14" s="17" t="s">
        <v>42</v>
      </c>
      <c r="B14" s="39"/>
      <c r="C14" s="40"/>
      <c r="D14" s="41"/>
      <c r="E14" s="42"/>
      <c r="F14" s="42"/>
      <c r="G14" s="18">
        <f t="shared" si="0"/>
        <v>795</v>
      </c>
    </row>
    <row r="15" spans="1:11" x14ac:dyDescent="0.2">
      <c r="A15" s="17" t="s">
        <v>43</v>
      </c>
      <c r="B15" s="39"/>
      <c r="C15" s="40"/>
      <c r="D15" s="41"/>
      <c r="E15" s="42"/>
      <c r="F15" s="42"/>
      <c r="G15" s="18">
        <f t="shared" si="0"/>
        <v>795</v>
      </c>
    </row>
    <row r="16" spans="1:11" x14ac:dyDescent="0.2">
      <c r="A16" s="17" t="s">
        <v>44</v>
      </c>
      <c r="B16" s="39"/>
      <c r="C16" s="40"/>
      <c r="D16" s="41"/>
      <c r="E16" s="42"/>
      <c r="F16" s="42"/>
      <c r="G16" s="18">
        <f t="shared" si="0"/>
        <v>795</v>
      </c>
    </row>
    <row r="17" spans="1:7" x14ac:dyDescent="0.2">
      <c r="A17" s="17" t="s">
        <v>45</v>
      </c>
      <c r="B17" s="39"/>
      <c r="C17" s="40"/>
      <c r="D17" s="41"/>
      <c r="E17" s="42"/>
      <c r="F17" s="42"/>
      <c r="G17" s="18">
        <f t="shared" si="0"/>
        <v>795</v>
      </c>
    </row>
    <row r="18" spans="1:7" x14ac:dyDescent="0.2">
      <c r="A18" s="17" t="s">
        <v>46</v>
      </c>
      <c r="B18" s="39"/>
      <c r="C18" s="40"/>
      <c r="D18" s="41"/>
      <c r="E18" s="42"/>
      <c r="F18" s="42"/>
      <c r="G18" s="18">
        <f t="shared" si="0"/>
        <v>795</v>
      </c>
    </row>
    <row r="19" spans="1:7" x14ac:dyDescent="0.2">
      <c r="A19" s="17" t="s">
        <v>47</v>
      </c>
      <c r="B19" s="39"/>
      <c r="C19" s="40"/>
      <c r="D19" s="41"/>
      <c r="E19" s="42"/>
      <c r="F19" s="42"/>
      <c r="G19" s="18">
        <f t="shared" si="0"/>
        <v>795</v>
      </c>
    </row>
    <row r="20" spans="1:7" x14ac:dyDescent="0.2">
      <c r="A20" s="17" t="s">
        <v>48</v>
      </c>
      <c r="B20" s="39"/>
      <c r="C20" s="40"/>
      <c r="D20" s="41"/>
      <c r="E20" s="42"/>
      <c r="F20" s="42"/>
      <c r="G20" s="18">
        <f t="shared" si="0"/>
        <v>795</v>
      </c>
    </row>
    <row r="21" spans="1:7" x14ac:dyDescent="0.2">
      <c r="A21" s="17" t="s">
        <v>49</v>
      </c>
      <c r="B21" s="39"/>
      <c r="C21" s="40"/>
      <c r="D21" s="41"/>
      <c r="E21" s="42"/>
      <c r="F21" s="42"/>
      <c r="G21" s="18">
        <f t="shared" si="0"/>
        <v>795</v>
      </c>
    </row>
    <row r="22" spans="1:7" x14ac:dyDescent="0.2">
      <c r="A22" s="17" t="s">
        <v>50</v>
      </c>
      <c r="B22" s="39"/>
      <c r="C22" s="40"/>
      <c r="D22" s="41"/>
      <c r="E22" s="42"/>
      <c r="F22" s="42"/>
      <c r="G22" s="18">
        <f t="shared" si="0"/>
        <v>795</v>
      </c>
    </row>
    <row r="23" spans="1:7" x14ac:dyDescent="0.2">
      <c r="A23" s="17" t="s">
        <v>51</v>
      </c>
      <c r="B23" s="39"/>
      <c r="C23" s="40"/>
      <c r="D23" s="41"/>
      <c r="E23" s="42"/>
      <c r="F23" s="42"/>
      <c r="G23" s="18">
        <f t="shared" si="0"/>
        <v>795</v>
      </c>
    </row>
    <row r="24" spans="1:7" x14ac:dyDescent="0.2">
      <c r="A24" s="17" t="s">
        <v>52</v>
      </c>
      <c r="B24" s="39"/>
      <c r="C24" s="40"/>
      <c r="D24" s="41"/>
      <c r="E24" s="42"/>
      <c r="F24" s="42"/>
      <c r="G24" s="18">
        <f t="shared" si="0"/>
        <v>795</v>
      </c>
    </row>
    <row r="25" spans="1:7" x14ac:dyDescent="0.2">
      <c r="A25" s="17" t="s">
        <v>53</v>
      </c>
      <c r="B25" s="39"/>
      <c r="C25" s="40"/>
      <c r="D25" s="41"/>
      <c r="E25" s="42"/>
      <c r="F25" s="42"/>
      <c r="G25" s="18">
        <f t="shared" si="0"/>
        <v>795</v>
      </c>
    </row>
    <row r="26" spans="1:7" x14ac:dyDescent="0.2">
      <c r="A26" s="17" t="s">
        <v>54</v>
      </c>
      <c r="B26" s="39"/>
      <c r="C26" s="40"/>
      <c r="D26" s="41"/>
      <c r="E26" s="42"/>
      <c r="F26" s="42"/>
      <c r="G26" s="18">
        <f t="shared" si="0"/>
        <v>795</v>
      </c>
    </row>
    <row r="27" spans="1:7" x14ac:dyDescent="0.2">
      <c r="A27" s="17" t="s">
        <v>55</v>
      </c>
      <c r="B27" s="39"/>
      <c r="C27" s="40"/>
      <c r="D27" s="41"/>
      <c r="E27" s="42"/>
      <c r="F27" s="42"/>
      <c r="G27" s="18">
        <f t="shared" si="0"/>
        <v>795</v>
      </c>
    </row>
    <row r="28" spans="1:7" x14ac:dyDescent="0.2">
      <c r="A28" s="17" t="s">
        <v>56</v>
      </c>
      <c r="B28" s="39"/>
      <c r="C28" s="40"/>
      <c r="D28" s="41"/>
      <c r="E28" s="42"/>
      <c r="F28" s="42"/>
      <c r="G28" s="18">
        <f t="shared" si="0"/>
        <v>795</v>
      </c>
    </row>
    <row r="29" spans="1:7" x14ac:dyDescent="0.2">
      <c r="A29" s="17" t="s">
        <v>57</v>
      </c>
      <c r="B29" s="39"/>
      <c r="C29" s="40"/>
      <c r="D29" s="41"/>
      <c r="E29" s="42"/>
      <c r="F29" s="42"/>
      <c r="G29" s="18">
        <f t="shared" si="0"/>
        <v>795</v>
      </c>
    </row>
    <row r="30" spans="1:7" x14ac:dyDescent="0.2">
      <c r="A30" s="17" t="s">
        <v>58</v>
      </c>
      <c r="B30" s="39"/>
      <c r="C30" s="40"/>
      <c r="D30" s="41"/>
      <c r="E30" s="42"/>
      <c r="F30" s="42"/>
      <c r="G30" s="18">
        <f t="shared" si="0"/>
        <v>795</v>
      </c>
    </row>
    <row r="31" spans="1:7" x14ac:dyDescent="0.2">
      <c r="A31" s="17" t="s">
        <v>59</v>
      </c>
      <c r="B31" s="39"/>
      <c r="C31" s="40"/>
      <c r="D31" s="41"/>
      <c r="E31" s="42"/>
      <c r="F31" s="42"/>
      <c r="G31" s="18">
        <f t="shared" si="0"/>
        <v>795</v>
      </c>
    </row>
    <row r="32" spans="1:7" x14ac:dyDescent="0.2">
      <c r="A32" s="17" t="s">
        <v>60</v>
      </c>
      <c r="B32" s="39"/>
      <c r="C32" s="40"/>
      <c r="D32" s="41"/>
      <c r="E32" s="42"/>
      <c r="F32" s="42"/>
      <c r="G32" s="18">
        <f t="shared" si="0"/>
        <v>795</v>
      </c>
    </row>
    <row r="33" spans="1:11" x14ac:dyDescent="0.2">
      <c r="A33" s="17" t="s">
        <v>61</v>
      </c>
      <c r="B33" s="39"/>
      <c r="C33" s="40"/>
      <c r="D33" s="41"/>
      <c r="E33" s="42"/>
      <c r="F33" s="42"/>
      <c r="G33" s="18">
        <f t="shared" si="0"/>
        <v>795</v>
      </c>
    </row>
    <row r="34" spans="1:11" x14ac:dyDescent="0.2">
      <c r="A34" s="17" t="s">
        <v>62</v>
      </c>
      <c r="B34" s="39"/>
      <c r="C34" s="40"/>
      <c r="D34" s="41"/>
      <c r="E34" s="42"/>
      <c r="F34" s="42"/>
      <c r="G34" s="18">
        <f t="shared" si="0"/>
        <v>795</v>
      </c>
    </row>
    <row r="35" spans="1:11" x14ac:dyDescent="0.2">
      <c r="A35" s="17" t="s">
        <v>63</v>
      </c>
      <c r="B35" s="39"/>
      <c r="C35" s="40"/>
      <c r="D35" s="41"/>
      <c r="E35" s="42"/>
      <c r="F35" s="42"/>
      <c r="G35" s="18">
        <f t="shared" si="0"/>
        <v>795</v>
      </c>
    </row>
    <row r="36" spans="1:11" x14ac:dyDescent="0.2">
      <c r="A36" s="17" t="s">
        <v>64</v>
      </c>
      <c r="B36" s="39"/>
      <c r="C36" s="40"/>
      <c r="D36" s="41"/>
      <c r="E36" s="42"/>
      <c r="F36" s="42"/>
      <c r="G36" s="18">
        <f t="shared" si="0"/>
        <v>795</v>
      </c>
    </row>
    <row r="37" spans="1:11" x14ac:dyDescent="0.2">
      <c r="A37" s="17" t="s">
        <v>65</v>
      </c>
      <c r="B37" s="39"/>
      <c r="C37" s="40"/>
      <c r="D37" s="41"/>
      <c r="E37" s="42"/>
      <c r="F37" s="42"/>
      <c r="G37" s="18">
        <f t="shared" si="0"/>
        <v>795</v>
      </c>
    </row>
    <row r="38" spans="1:11" x14ac:dyDescent="0.2">
      <c r="A38" s="17" t="s">
        <v>66</v>
      </c>
      <c r="B38" s="39"/>
      <c r="C38" s="40"/>
      <c r="D38" s="41"/>
      <c r="E38" s="42"/>
      <c r="F38" s="42"/>
      <c r="G38" s="18">
        <f t="shared" si="0"/>
        <v>795</v>
      </c>
    </row>
    <row r="39" spans="1:11" x14ac:dyDescent="0.2">
      <c r="A39" s="17" t="s">
        <v>67</v>
      </c>
      <c r="B39" s="39"/>
      <c r="C39" s="40"/>
      <c r="D39" s="41"/>
      <c r="E39" s="42"/>
      <c r="F39" s="42"/>
      <c r="G39" s="18">
        <f t="shared" si="0"/>
        <v>795</v>
      </c>
    </row>
    <row r="40" spans="1:11" x14ac:dyDescent="0.2">
      <c r="A40" s="17" t="s">
        <v>68</v>
      </c>
      <c r="B40" s="39"/>
      <c r="C40" s="40"/>
      <c r="D40" s="41"/>
      <c r="E40" s="42"/>
      <c r="F40" s="42"/>
      <c r="G40" s="18">
        <f t="shared" si="0"/>
        <v>795</v>
      </c>
    </row>
    <row r="41" spans="1:11" ht="12" thickBot="1" x14ac:dyDescent="0.25">
      <c r="A41" s="17" t="s">
        <v>69</v>
      </c>
      <c r="B41" s="39"/>
      <c r="C41" s="40"/>
      <c r="D41" s="41"/>
      <c r="E41" s="42"/>
      <c r="F41" s="42"/>
      <c r="G41" s="18">
        <f t="shared" si="0"/>
        <v>795</v>
      </c>
    </row>
    <row r="42" spans="1:11" ht="12" thickBot="1" x14ac:dyDescent="0.25">
      <c r="A42" s="17" t="s">
        <v>70</v>
      </c>
      <c r="B42" s="39"/>
      <c r="C42" s="40"/>
      <c r="D42" s="41"/>
      <c r="E42" s="42"/>
      <c r="F42" s="42"/>
      <c r="G42" s="18">
        <f t="shared" si="0"/>
        <v>795</v>
      </c>
      <c r="I42" s="254" t="str">
        <f>A1</f>
        <v>Cég neve:</v>
      </c>
      <c r="J42" s="255"/>
      <c r="K42" s="256"/>
    </row>
    <row r="43" spans="1:11" ht="12" thickBot="1" x14ac:dyDescent="0.25">
      <c r="A43" s="17" t="s">
        <v>71</v>
      </c>
      <c r="B43" s="39"/>
      <c r="C43" s="40"/>
      <c r="D43" s="41"/>
      <c r="E43" s="42"/>
      <c r="F43" s="42"/>
      <c r="G43" s="18">
        <f t="shared" si="0"/>
        <v>795</v>
      </c>
      <c r="I43" s="257" t="str">
        <f>"Címletjegyzék "</f>
        <v xml:space="preserve">Címletjegyzék </v>
      </c>
      <c r="J43" s="258"/>
      <c r="K43" s="259"/>
    </row>
    <row r="44" spans="1:11" ht="12" thickBot="1" x14ac:dyDescent="0.25">
      <c r="A44" s="17" t="s">
        <v>72</v>
      </c>
      <c r="B44" s="39"/>
      <c r="C44" s="40"/>
      <c r="D44" s="41"/>
      <c r="E44" s="42"/>
      <c r="F44" s="42"/>
      <c r="G44" s="18">
        <f t="shared" si="0"/>
        <v>795</v>
      </c>
      <c r="I44" s="20" t="s">
        <v>73</v>
      </c>
      <c r="J44" s="21" t="s">
        <v>74</v>
      </c>
      <c r="K44" s="22" t="s">
        <v>75</v>
      </c>
    </row>
    <row r="45" spans="1:11" x14ac:dyDescent="0.2">
      <c r="A45" s="17" t="s">
        <v>76</v>
      </c>
      <c r="B45" s="39"/>
      <c r="C45" s="40"/>
      <c r="D45" s="41"/>
      <c r="E45" s="42"/>
      <c r="F45" s="42"/>
      <c r="G45" s="18">
        <f t="shared" si="0"/>
        <v>795</v>
      </c>
      <c r="I45" s="23">
        <v>20000</v>
      </c>
      <c r="J45" s="48"/>
      <c r="K45" s="24">
        <f>I45*J45</f>
        <v>0</v>
      </c>
    </row>
    <row r="46" spans="1:11" x14ac:dyDescent="0.2">
      <c r="A46" s="17" t="s">
        <v>77</v>
      </c>
      <c r="B46" s="39"/>
      <c r="C46" s="40"/>
      <c r="D46" s="41"/>
      <c r="E46" s="42"/>
      <c r="F46" s="42"/>
      <c r="G46" s="18">
        <f t="shared" si="0"/>
        <v>795</v>
      </c>
      <c r="I46" s="23">
        <v>10000</v>
      </c>
      <c r="J46" s="48"/>
      <c r="K46" s="24">
        <f t="shared" ref="K46:K56" si="1">I46*J46</f>
        <v>0</v>
      </c>
    </row>
    <row r="47" spans="1:11" x14ac:dyDescent="0.2">
      <c r="A47" s="17" t="s">
        <v>78</v>
      </c>
      <c r="B47" s="39"/>
      <c r="C47" s="40"/>
      <c r="D47" s="41"/>
      <c r="E47" s="42"/>
      <c r="F47" s="42"/>
      <c r="G47" s="18">
        <f t="shared" si="0"/>
        <v>795</v>
      </c>
      <c r="I47" s="23">
        <v>5000</v>
      </c>
      <c r="J47" s="48"/>
      <c r="K47" s="24">
        <f t="shared" si="1"/>
        <v>0</v>
      </c>
    </row>
    <row r="48" spans="1:11" x14ac:dyDescent="0.2">
      <c r="A48" s="17" t="s">
        <v>79</v>
      </c>
      <c r="B48" s="39"/>
      <c r="C48" s="40"/>
      <c r="D48" s="41"/>
      <c r="E48" s="42"/>
      <c r="F48" s="42"/>
      <c r="G48" s="18">
        <f t="shared" si="0"/>
        <v>795</v>
      </c>
      <c r="I48" s="23">
        <v>2000</v>
      </c>
      <c r="J48" s="48"/>
      <c r="K48" s="24">
        <f t="shared" si="1"/>
        <v>0</v>
      </c>
    </row>
    <row r="49" spans="1:11" x14ac:dyDescent="0.2">
      <c r="A49" s="17" t="s">
        <v>80</v>
      </c>
      <c r="B49" s="39"/>
      <c r="C49" s="40"/>
      <c r="D49" s="41"/>
      <c r="E49" s="42"/>
      <c r="F49" s="42"/>
      <c r="G49" s="18">
        <f t="shared" si="0"/>
        <v>795</v>
      </c>
      <c r="I49" s="23">
        <v>1000</v>
      </c>
      <c r="J49" s="48"/>
      <c r="K49" s="24">
        <f t="shared" si="1"/>
        <v>0</v>
      </c>
    </row>
    <row r="50" spans="1:11" x14ac:dyDescent="0.2">
      <c r="A50" s="17" t="s">
        <v>81</v>
      </c>
      <c r="B50" s="39"/>
      <c r="C50" s="40"/>
      <c r="D50" s="41"/>
      <c r="E50" s="42"/>
      <c r="F50" s="42"/>
      <c r="G50" s="18">
        <f t="shared" si="0"/>
        <v>795</v>
      </c>
      <c r="I50" s="23">
        <v>500</v>
      </c>
      <c r="J50" s="48"/>
      <c r="K50" s="24">
        <f t="shared" si="1"/>
        <v>0</v>
      </c>
    </row>
    <row r="51" spans="1:11" x14ac:dyDescent="0.2">
      <c r="A51" s="17" t="s">
        <v>82</v>
      </c>
      <c r="B51" s="39"/>
      <c r="C51" s="40"/>
      <c r="D51" s="41"/>
      <c r="E51" s="42"/>
      <c r="F51" s="42"/>
      <c r="G51" s="18">
        <f t="shared" si="0"/>
        <v>795</v>
      </c>
      <c r="I51" s="23">
        <v>200</v>
      </c>
      <c r="J51" s="48"/>
      <c r="K51" s="24">
        <f t="shared" si="1"/>
        <v>0</v>
      </c>
    </row>
    <row r="52" spans="1:11" x14ac:dyDescent="0.2">
      <c r="A52" s="17" t="s">
        <v>83</v>
      </c>
      <c r="B52" s="39"/>
      <c r="C52" s="40"/>
      <c r="D52" s="41"/>
      <c r="E52" s="42"/>
      <c r="F52" s="42"/>
      <c r="G52" s="18">
        <f t="shared" si="0"/>
        <v>795</v>
      </c>
      <c r="I52" s="23">
        <v>100</v>
      </c>
      <c r="J52" s="48"/>
      <c r="K52" s="24">
        <f t="shared" si="1"/>
        <v>0</v>
      </c>
    </row>
    <row r="53" spans="1:11" x14ac:dyDescent="0.2">
      <c r="A53" s="17" t="s">
        <v>84</v>
      </c>
      <c r="B53" s="39"/>
      <c r="C53" s="40"/>
      <c r="D53" s="41"/>
      <c r="E53" s="42"/>
      <c r="F53" s="42"/>
      <c r="G53" s="18">
        <f t="shared" si="0"/>
        <v>795</v>
      </c>
      <c r="I53" s="23">
        <v>50</v>
      </c>
      <c r="J53" s="48"/>
      <c r="K53" s="24">
        <f t="shared" si="1"/>
        <v>0</v>
      </c>
    </row>
    <row r="54" spans="1:11" x14ac:dyDescent="0.2">
      <c r="A54" s="17" t="s">
        <v>85</v>
      </c>
      <c r="B54" s="43"/>
      <c r="C54" s="44"/>
      <c r="D54" s="45"/>
      <c r="E54" s="46"/>
      <c r="F54" s="46"/>
      <c r="G54" s="18">
        <f t="shared" si="0"/>
        <v>795</v>
      </c>
      <c r="I54" s="23">
        <v>20</v>
      </c>
      <c r="J54" s="48"/>
      <c r="K54" s="24">
        <f t="shared" si="1"/>
        <v>0</v>
      </c>
    </row>
    <row r="55" spans="1:11" ht="12" thickBot="1" x14ac:dyDescent="0.25">
      <c r="A55" s="25" t="s">
        <v>86</v>
      </c>
      <c r="B55" s="39"/>
      <c r="C55" s="40"/>
      <c r="D55" s="41"/>
      <c r="E55" s="42"/>
      <c r="F55" s="42"/>
      <c r="G55" s="26">
        <f>G54+E55-F55</f>
        <v>795</v>
      </c>
      <c r="I55" s="23">
        <v>10</v>
      </c>
      <c r="J55" s="48"/>
      <c r="K55" s="24">
        <f t="shared" si="1"/>
        <v>0</v>
      </c>
    </row>
    <row r="56" spans="1:11" ht="12" thickBot="1" x14ac:dyDescent="0.25">
      <c r="A56" s="251" t="s">
        <v>87</v>
      </c>
      <c r="B56" s="252"/>
      <c r="C56" s="252"/>
      <c r="D56" s="253"/>
      <c r="E56" s="27">
        <f>SUM(E6:E55)</f>
        <v>0</v>
      </c>
      <c r="F56" s="27">
        <f>SUM(F6:F55)</f>
        <v>44100</v>
      </c>
      <c r="G56" s="28"/>
      <c r="I56" s="23">
        <v>5</v>
      </c>
      <c r="J56" s="48"/>
      <c r="K56" s="24">
        <f t="shared" si="1"/>
        <v>0</v>
      </c>
    </row>
    <row r="57" spans="1:11" ht="12" thickBot="1" x14ac:dyDescent="0.25">
      <c r="A57" s="251" t="s">
        <v>88</v>
      </c>
      <c r="B57" s="252"/>
      <c r="C57" s="252"/>
      <c r="D57" s="253"/>
      <c r="E57" s="47">
        <v>44895</v>
      </c>
      <c r="F57" s="27"/>
      <c r="G57" s="28"/>
      <c r="I57" s="249" t="s">
        <v>12</v>
      </c>
      <c r="J57" s="250"/>
      <c r="K57" s="29">
        <f>SUM(K45:K56)</f>
        <v>0</v>
      </c>
    </row>
    <row r="58" spans="1:11" ht="12" thickBot="1" x14ac:dyDescent="0.25">
      <c r="A58" s="251" t="s">
        <v>89</v>
      </c>
      <c r="B58" s="252"/>
      <c r="C58" s="252"/>
      <c r="D58" s="253"/>
      <c r="E58" s="27"/>
      <c r="F58" s="30">
        <f>E56+E57-F56</f>
        <v>795</v>
      </c>
      <c r="G58" s="31"/>
      <c r="I58" s="11" t="s">
        <v>90</v>
      </c>
    </row>
    <row r="59" spans="1:11" ht="12" thickBot="1" x14ac:dyDescent="0.25">
      <c r="A59" s="251" t="s">
        <v>91</v>
      </c>
      <c r="B59" s="252"/>
      <c r="C59" s="252"/>
      <c r="D59" s="253"/>
      <c r="E59" s="32"/>
      <c r="F59" s="30">
        <f>K57</f>
        <v>0</v>
      </c>
      <c r="I59" s="50" t="s">
        <v>92</v>
      </c>
      <c r="J59" s="51"/>
      <c r="K59" s="50" t="s">
        <v>93</v>
      </c>
    </row>
    <row r="60" spans="1:11" ht="12" thickBot="1" x14ac:dyDescent="0.25">
      <c r="A60" s="251" t="s">
        <v>94</v>
      </c>
      <c r="B60" s="252"/>
      <c r="C60" s="252"/>
      <c r="D60" s="253"/>
      <c r="E60" s="27">
        <f>IF(F59&gt;F58,F59-F58,0)</f>
        <v>0</v>
      </c>
      <c r="F60" s="27">
        <f>IF(F59&lt;F58,-F59+F58,0)</f>
        <v>795</v>
      </c>
      <c r="I60" s="50" t="s">
        <v>95</v>
      </c>
      <c r="J60" s="51"/>
      <c r="K60" s="50" t="s">
        <v>93</v>
      </c>
    </row>
    <row r="61" spans="1:11" ht="12" thickBot="1" x14ac:dyDescent="0.25">
      <c r="A61" s="251" t="s">
        <v>96</v>
      </c>
      <c r="B61" s="252"/>
      <c r="C61" s="252"/>
      <c r="D61" s="253"/>
      <c r="E61" s="27">
        <f>E56+E57+E60</f>
        <v>44895</v>
      </c>
      <c r="F61" s="27">
        <f>F56+F58+F60</f>
        <v>45690</v>
      </c>
      <c r="I61" s="50" t="s">
        <v>12</v>
      </c>
      <c r="J61" s="52">
        <f>SUM(J59:J60)</f>
        <v>0</v>
      </c>
      <c r="K61" s="50" t="s">
        <v>93</v>
      </c>
    </row>
    <row r="63" spans="1:11" x14ac:dyDescent="0.2">
      <c r="A63" s="11" t="s">
        <v>99</v>
      </c>
      <c r="B63" s="53"/>
      <c r="D63" s="260" t="s">
        <v>117</v>
      </c>
      <c r="E63" s="260"/>
      <c r="F63" s="260"/>
      <c r="G63" s="260"/>
    </row>
  </sheetData>
  <mergeCells count="20">
    <mergeCell ref="A56:D56"/>
    <mergeCell ref="A1:B1"/>
    <mergeCell ref="C1:D1"/>
    <mergeCell ref="A2:B2"/>
    <mergeCell ref="C2:D2"/>
    <mergeCell ref="A3:A5"/>
    <mergeCell ref="B3:B5"/>
    <mergeCell ref="D3:D5"/>
    <mergeCell ref="E3:E4"/>
    <mergeCell ref="F3:F4"/>
    <mergeCell ref="G3:G4"/>
    <mergeCell ref="I42:K42"/>
    <mergeCell ref="I43:K43"/>
    <mergeCell ref="D63:G63"/>
    <mergeCell ref="A57:D57"/>
    <mergeCell ref="I57:J57"/>
    <mergeCell ref="A58:D58"/>
    <mergeCell ref="A59:D59"/>
    <mergeCell ref="A60:D60"/>
    <mergeCell ref="A61:D61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67" fitToHeight="0" orientation="portrait" blackAndWhite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25"/>
  <sheetViews>
    <sheetView workbookViewId="0">
      <selection activeCell="B7" sqref="B7:E8"/>
    </sheetView>
  </sheetViews>
  <sheetFormatPr defaultColWidth="9.140625" defaultRowHeight="12.75" x14ac:dyDescent="0.2"/>
  <cols>
    <col min="1" max="1" width="8.42578125" style="55" bestFit="1" customWidth="1"/>
    <col min="2" max="2" width="26.7109375" style="55" bestFit="1" customWidth="1"/>
    <col min="3" max="3" width="10.140625" style="55" bestFit="1" customWidth="1"/>
    <col min="4" max="4" width="9.42578125" style="55" bestFit="1" customWidth="1"/>
    <col min="5" max="5" width="19.28515625" style="55" customWidth="1"/>
    <col min="6" max="6" width="13.140625" style="55" bestFit="1" customWidth="1"/>
    <col min="7" max="10" width="13.85546875" style="55" customWidth="1"/>
    <col min="11" max="11" width="13.42578125" style="55" customWidth="1"/>
    <col min="12" max="12" width="10.42578125" style="55" customWidth="1"/>
    <col min="13" max="256" width="9.140625" style="55"/>
    <col min="257" max="257" width="8.42578125" style="55" bestFit="1" customWidth="1"/>
    <col min="258" max="258" width="26.7109375" style="55" bestFit="1" customWidth="1"/>
    <col min="259" max="259" width="9.28515625" style="55" bestFit="1" customWidth="1"/>
    <col min="260" max="260" width="8.7109375" style="55" bestFit="1" customWidth="1"/>
    <col min="261" max="261" width="19.28515625" style="55" customWidth="1"/>
    <col min="262" max="262" width="13.140625" style="55" bestFit="1" customWidth="1"/>
    <col min="263" max="266" width="13.85546875" style="55" customWidth="1"/>
    <col min="267" max="267" width="11.28515625" style="55" bestFit="1" customWidth="1"/>
    <col min="268" max="268" width="10.42578125" style="55" customWidth="1"/>
    <col min="269" max="512" width="9.140625" style="55"/>
    <col min="513" max="513" width="8.42578125" style="55" bestFit="1" customWidth="1"/>
    <col min="514" max="514" width="26.7109375" style="55" bestFit="1" customWidth="1"/>
    <col min="515" max="515" width="9.28515625" style="55" bestFit="1" customWidth="1"/>
    <col min="516" max="516" width="8.7109375" style="55" bestFit="1" customWidth="1"/>
    <col min="517" max="517" width="19.28515625" style="55" customWidth="1"/>
    <col min="518" max="518" width="13.140625" style="55" bestFit="1" customWidth="1"/>
    <col min="519" max="522" width="13.85546875" style="55" customWidth="1"/>
    <col min="523" max="523" width="11.28515625" style="55" bestFit="1" customWidth="1"/>
    <col min="524" max="524" width="10.42578125" style="55" customWidth="1"/>
    <col min="525" max="768" width="9.140625" style="55"/>
    <col min="769" max="769" width="8.42578125" style="55" bestFit="1" customWidth="1"/>
    <col min="770" max="770" width="26.7109375" style="55" bestFit="1" customWidth="1"/>
    <col min="771" max="771" width="9.28515625" style="55" bestFit="1" customWidth="1"/>
    <col min="772" max="772" width="8.7109375" style="55" bestFit="1" customWidth="1"/>
    <col min="773" max="773" width="19.28515625" style="55" customWidth="1"/>
    <col min="774" max="774" width="13.140625" style="55" bestFit="1" customWidth="1"/>
    <col min="775" max="778" width="13.85546875" style="55" customWidth="1"/>
    <col min="779" max="779" width="11.28515625" style="55" bestFit="1" customWidth="1"/>
    <col min="780" max="780" width="10.42578125" style="55" customWidth="1"/>
    <col min="781" max="1024" width="9.140625" style="55"/>
    <col min="1025" max="1025" width="8.42578125" style="55" bestFit="1" customWidth="1"/>
    <col min="1026" max="1026" width="26.7109375" style="55" bestFit="1" customWidth="1"/>
    <col min="1027" max="1027" width="9.28515625" style="55" bestFit="1" customWidth="1"/>
    <col min="1028" max="1028" width="8.7109375" style="55" bestFit="1" customWidth="1"/>
    <col min="1029" max="1029" width="19.28515625" style="55" customWidth="1"/>
    <col min="1030" max="1030" width="13.140625" style="55" bestFit="1" customWidth="1"/>
    <col min="1031" max="1034" width="13.85546875" style="55" customWidth="1"/>
    <col min="1035" max="1035" width="11.28515625" style="55" bestFit="1" customWidth="1"/>
    <col min="1036" max="1036" width="10.42578125" style="55" customWidth="1"/>
    <col min="1037" max="1280" width="9.140625" style="55"/>
    <col min="1281" max="1281" width="8.42578125" style="55" bestFit="1" customWidth="1"/>
    <col min="1282" max="1282" width="26.7109375" style="55" bestFit="1" customWidth="1"/>
    <col min="1283" max="1283" width="9.28515625" style="55" bestFit="1" customWidth="1"/>
    <col min="1284" max="1284" width="8.7109375" style="55" bestFit="1" customWidth="1"/>
    <col min="1285" max="1285" width="19.28515625" style="55" customWidth="1"/>
    <col min="1286" max="1286" width="13.140625" style="55" bestFit="1" customWidth="1"/>
    <col min="1287" max="1290" width="13.85546875" style="55" customWidth="1"/>
    <col min="1291" max="1291" width="11.28515625" style="55" bestFit="1" customWidth="1"/>
    <col min="1292" max="1292" width="10.42578125" style="55" customWidth="1"/>
    <col min="1293" max="1536" width="9.140625" style="55"/>
    <col min="1537" max="1537" width="8.42578125" style="55" bestFit="1" customWidth="1"/>
    <col min="1538" max="1538" width="26.7109375" style="55" bestFit="1" customWidth="1"/>
    <col min="1539" max="1539" width="9.28515625" style="55" bestFit="1" customWidth="1"/>
    <col min="1540" max="1540" width="8.7109375" style="55" bestFit="1" customWidth="1"/>
    <col min="1541" max="1541" width="19.28515625" style="55" customWidth="1"/>
    <col min="1542" max="1542" width="13.140625" style="55" bestFit="1" customWidth="1"/>
    <col min="1543" max="1546" width="13.85546875" style="55" customWidth="1"/>
    <col min="1547" max="1547" width="11.28515625" style="55" bestFit="1" customWidth="1"/>
    <col min="1548" max="1548" width="10.42578125" style="55" customWidth="1"/>
    <col min="1549" max="1792" width="9.140625" style="55"/>
    <col min="1793" max="1793" width="8.42578125" style="55" bestFit="1" customWidth="1"/>
    <col min="1794" max="1794" width="26.7109375" style="55" bestFit="1" customWidth="1"/>
    <col min="1795" max="1795" width="9.28515625" style="55" bestFit="1" customWidth="1"/>
    <col min="1796" max="1796" width="8.7109375" style="55" bestFit="1" customWidth="1"/>
    <col min="1797" max="1797" width="19.28515625" style="55" customWidth="1"/>
    <col min="1798" max="1798" width="13.140625" style="55" bestFit="1" customWidth="1"/>
    <col min="1799" max="1802" width="13.85546875" style="55" customWidth="1"/>
    <col min="1803" max="1803" width="11.28515625" style="55" bestFit="1" customWidth="1"/>
    <col min="1804" max="1804" width="10.42578125" style="55" customWidth="1"/>
    <col min="1805" max="2048" width="9.140625" style="55"/>
    <col min="2049" max="2049" width="8.42578125" style="55" bestFit="1" customWidth="1"/>
    <col min="2050" max="2050" width="26.7109375" style="55" bestFit="1" customWidth="1"/>
    <col min="2051" max="2051" width="9.28515625" style="55" bestFit="1" customWidth="1"/>
    <col min="2052" max="2052" width="8.7109375" style="55" bestFit="1" customWidth="1"/>
    <col min="2053" max="2053" width="19.28515625" style="55" customWidth="1"/>
    <col min="2054" max="2054" width="13.140625" style="55" bestFit="1" customWidth="1"/>
    <col min="2055" max="2058" width="13.85546875" style="55" customWidth="1"/>
    <col min="2059" max="2059" width="11.28515625" style="55" bestFit="1" customWidth="1"/>
    <col min="2060" max="2060" width="10.42578125" style="55" customWidth="1"/>
    <col min="2061" max="2304" width="9.140625" style="55"/>
    <col min="2305" max="2305" width="8.42578125" style="55" bestFit="1" customWidth="1"/>
    <col min="2306" max="2306" width="26.7109375" style="55" bestFit="1" customWidth="1"/>
    <col min="2307" max="2307" width="9.28515625" style="55" bestFit="1" customWidth="1"/>
    <col min="2308" max="2308" width="8.7109375" style="55" bestFit="1" customWidth="1"/>
    <col min="2309" max="2309" width="19.28515625" style="55" customWidth="1"/>
    <col min="2310" max="2310" width="13.140625" style="55" bestFit="1" customWidth="1"/>
    <col min="2311" max="2314" width="13.85546875" style="55" customWidth="1"/>
    <col min="2315" max="2315" width="11.28515625" style="55" bestFit="1" customWidth="1"/>
    <col min="2316" max="2316" width="10.42578125" style="55" customWidth="1"/>
    <col min="2317" max="2560" width="9.140625" style="55"/>
    <col min="2561" max="2561" width="8.42578125" style="55" bestFit="1" customWidth="1"/>
    <col min="2562" max="2562" width="26.7109375" style="55" bestFit="1" customWidth="1"/>
    <col min="2563" max="2563" width="9.28515625" style="55" bestFit="1" customWidth="1"/>
    <col min="2564" max="2564" width="8.7109375" style="55" bestFit="1" customWidth="1"/>
    <col min="2565" max="2565" width="19.28515625" style="55" customWidth="1"/>
    <col min="2566" max="2566" width="13.140625" style="55" bestFit="1" customWidth="1"/>
    <col min="2567" max="2570" width="13.85546875" style="55" customWidth="1"/>
    <col min="2571" max="2571" width="11.28515625" style="55" bestFit="1" customWidth="1"/>
    <col min="2572" max="2572" width="10.42578125" style="55" customWidth="1"/>
    <col min="2573" max="2816" width="9.140625" style="55"/>
    <col min="2817" max="2817" width="8.42578125" style="55" bestFit="1" customWidth="1"/>
    <col min="2818" max="2818" width="26.7109375" style="55" bestFit="1" customWidth="1"/>
    <col min="2819" max="2819" width="9.28515625" style="55" bestFit="1" customWidth="1"/>
    <col min="2820" max="2820" width="8.7109375" style="55" bestFit="1" customWidth="1"/>
    <col min="2821" max="2821" width="19.28515625" style="55" customWidth="1"/>
    <col min="2822" max="2822" width="13.140625" style="55" bestFit="1" customWidth="1"/>
    <col min="2823" max="2826" width="13.85546875" style="55" customWidth="1"/>
    <col min="2827" max="2827" width="11.28515625" style="55" bestFit="1" customWidth="1"/>
    <col min="2828" max="2828" width="10.42578125" style="55" customWidth="1"/>
    <col min="2829" max="3072" width="9.140625" style="55"/>
    <col min="3073" max="3073" width="8.42578125" style="55" bestFit="1" customWidth="1"/>
    <col min="3074" max="3074" width="26.7109375" style="55" bestFit="1" customWidth="1"/>
    <col min="3075" max="3075" width="9.28515625" style="55" bestFit="1" customWidth="1"/>
    <col min="3076" max="3076" width="8.7109375" style="55" bestFit="1" customWidth="1"/>
    <col min="3077" max="3077" width="19.28515625" style="55" customWidth="1"/>
    <col min="3078" max="3078" width="13.140625" style="55" bestFit="1" customWidth="1"/>
    <col min="3079" max="3082" width="13.85546875" style="55" customWidth="1"/>
    <col min="3083" max="3083" width="11.28515625" style="55" bestFit="1" customWidth="1"/>
    <col min="3084" max="3084" width="10.42578125" style="55" customWidth="1"/>
    <col min="3085" max="3328" width="9.140625" style="55"/>
    <col min="3329" max="3329" width="8.42578125" style="55" bestFit="1" customWidth="1"/>
    <col min="3330" max="3330" width="26.7109375" style="55" bestFit="1" customWidth="1"/>
    <col min="3331" max="3331" width="9.28515625" style="55" bestFit="1" customWidth="1"/>
    <col min="3332" max="3332" width="8.7109375" style="55" bestFit="1" customWidth="1"/>
    <col min="3333" max="3333" width="19.28515625" style="55" customWidth="1"/>
    <col min="3334" max="3334" width="13.140625" style="55" bestFit="1" customWidth="1"/>
    <col min="3335" max="3338" width="13.85546875" style="55" customWidth="1"/>
    <col min="3339" max="3339" width="11.28515625" style="55" bestFit="1" customWidth="1"/>
    <col min="3340" max="3340" width="10.42578125" style="55" customWidth="1"/>
    <col min="3341" max="3584" width="9.140625" style="55"/>
    <col min="3585" max="3585" width="8.42578125" style="55" bestFit="1" customWidth="1"/>
    <col min="3586" max="3586" width="26.7109375" style="55" bestFit="1" customWidth="1"/>
    <col min="3587" max="3587" width="9.28515625" style="55" bestFit="1" customWidth="1"/>
    <col min="3588" max="3588" width="8.7109375" style="55" bestFit="1" customWidth="1"/>
    <col min="3589" max="3589" width="19.28515625" style="55" customWidth="1"/>
    <col min="3590" max="3590" width="13.140625" style="55" bestFit="1" customWidth="1"/>
    <col min="3591" max="3594" width="13.85546875" style="55" customWidth="1"/>
    <col min="3595" max="3595" width="11.28515625" style="55" bestFit="1" customWidth="1"/>
    <col min="3596" max="3596" width="10.42578125" style="55" customWidth="1"/>
    <col min="3597" max="3840" width="9.140625" style="55"/>
    <col min="3841" max="3841" width="8.42578125" style="55" bestFit="1" customWidth="1"/>
    <col min="3842" max="3842" width="26.7109375" style="55" bestFit="1" customWidth="1"/>
    <col min="3843" max="3843" width="9.28515625" style="55" bestFit="1" customWidth="1"/>
    <col min="3844" max="3844" width="8.7109375" style="55" bestFit="1" customWidth="1"/>
    <col min="3845" max="3845" width="19.28515625" style="55" customWidth="1"/>
    <col min="3846" max="3846" width="13.140625" style="55" bestFit="1" customWidth="1"/>
    <col min="3847" max="3850" width="13.85546875" style="55" customWidth="1"/>
    <col min="3851" max="3851" width="11.28515625" style="55" bestFit="1" customWidth="1"/>
    <col min="3852" max="3852" width="10.42578125" style="55" customWidth="1"/>
    <col min="3853" max="4096" width="9.140625" style="55"/>
    <col min="4097" max="4097" width="8.42578125" style="55" bestFit="1" customWidth="1"/>
    <col min="4098" max="4098" width="26.7109375" style="55" bestFit="1" customWidth="1"/>
    <col min="4099" max="4099" width="9.28515625" style="55" bestFit="1" customWidth="1"/>
    <col min="4100" max="4100" width="8.7109375" style="55" bestFit="1" customWidth="1"/>
    <col min="4101" max="4101" width="19.28515625" style="55" customWidth="1"/>
    <col min="4102" max="4102" width="13.140625" style="55" bestFit="1" customWidth="1"/>
    <col min="4103" max="4106" width="13.85546875" style="55" customWidth="1"/>
    <col min="4107" max="4107" width="11.28515625" style="55" bestFit="1" customWidth="1"/>
    <col min="4108" max="4108" width="10.42578125" style="55" customWidth="1"/>
    <col min="4109" max="4352" width="9.140625" style="55"/>
    <col min="4353" max="4353" width="8.42578125" style="55" bestFit="1" customWidth="1"/>
    <col min="4354" max="4354" width="26.7109375" style="55" bestFit="1" customWidth="1"/>
    <col min="4355" max="4355" width="9.28515625" style="55" bestFit="1" customWidth="1"/>
    <col min="4356" max="4356" width="8.7109375" style="55" bestFit="1" customWidth="1"/>
    <col min="4357" max="4357" width="19.28515625" style="55" customWidth="1"/>
    <col min="4358" max="4358" width="13.140625" style="55" bestFit="1" customWidth="1"/>
    <col min="4359" max="4362" width="13.85546875" style="55" customWidth="1"/>
    <col min="4363" max="4363" width="11.28515625" style="55" bestFit="1" customWidth="1"/>
    <col min="4364" max="4364" width="10.42578125" style="55" customWidth="1"/>
    <col min="4365" max="4608" width="9.140625" style="55"/>
    <col min="4609" max="4609" width="8.42578125" style="55" bestFit="1" customWidth="1"/>
    <col min="4610" max="4610" width="26.7109375" style="55" bestFit="1" customWidth="1"/>
    <col min="4611" max="4611" width="9.28515625" style="55" bestFit="1" customWidth="1"/>
    <col min="4612" max="4612" width="8.7109375" style="55" bestFit="1" customWidth="1"/>
    <col min="4613" max="4613" width="19.28515625" style="55" customWidth="1"/>
    <col min="4614" max="4614" width="13.140625" style="55" bestFit="1" customWidth="1"/>
    <col min="4615" max="4618" width="13.85546875" style="55" customWidth="1"/>
    <col min="4619" max="4619" width="11.28515625" style="55" bestFit="1" customWidth="1"/>
    <col min="4620" max="4620" width="10.42578125" style="55" customWidth="1"/>
    <col min="4621" max="4864" width="9.140625" style="55"/>
    <col min="4865" max="4865" width="8.42578125" style="55" bestFit="1" customWidth="1"/>
    <col min="4866" max="4866" width="26.7109375" style="55" bestFit="1" customWidth="1"/>
    <col min="4867" max="4867" width="9.28515625" style="55" bestFit="1" customWidth="1"/>
    <col min="4868" max="4868" width="8.7109375" style="55" bestFit="1" customWidth="1"/>
    <col min="4869" max="4869" width="19.28515625" style="55" customWidth="1"/>
    <col min="4870" max="4870" width="13.140625" style="55" bestFit="1" customWidth="1"/>
    <col min="4871" max="4874" width="13.85546875" style="55" customWidth="1"/>
    <col min="4875" max="4875" width="11.28515625" style="55" bestFit="1" customWidth="1"/>
    <col min="4876" max="4876" width="10.42578125" style="55" customWidth="1"/>
    <col min="4877" max="5120" width="9.140625" style="55"/>
    <col min="5121" max="5121" width="8.42578125" style="55" bestFit="1" customWidth="1"/>
    <col min="5122" max="5122" width="26.7109375" style="55" bestFit="1" customWidth="1"/>
    <col min="5123" max="5123" width="9.28515625" style="55" bestFit="1" customWidth="1"/>
    <col min="5124" max="5124" width="8.7109375" style="55" bestFit="1" customWidth="1"/>
    <col min="5125" max="5125" width="19.28515625" style="55" customWidth="1"/>
    <col min="5126" max="5126" width="13.140625" style="55" bestFit="1" customWidth="1"/>
    <col min="5127" max="5130" width="13.85546875" style="55" customWidth="1"/>
    <col min="5131" max="5131" width="11.28515625" style="55" bestFit="1" customWidth="1"/>
    <col min="5132" max="5132" width="10.42578125" style="55" customWidth="1"/>
    <col min="5133" max="5376" width="9.140625" style="55"/>
    <col min="5377" max="5377" width="8.42578125" style="55" bestFit="1" customWidth="1"/>
    <col min="5378" max="5378" width="26.7109375" style="55" bestFit="1" customWidth="1"/>
    <col min="5379" max="5379" width="9.28515625" style="55" bestFit="1" customWidth="1"/>
    <col min="5380" max="5380" width="8.7109375" style="55" bestFit="1" customWidth="1"/>
    <col min="5381" max="5381" width="19.28515625" style="55" customWidth="1"/>
    <col min="5382" max="5382" width="13.140625" style="55" bestFit="1" customWidth="1"/>
    <col min="5383" max="5386" width="13.85546875" style="55" customWidth="1"/>
    <col min="5387" max="5387" width="11.28515625" style="55" bestFit="1" customWidth="1"/>
    <col min="5388" max="5388" width="10.42578125" style="55" customWidth="1"/>
    <col min="5389" max="5632" width="9.140625" style="55"/>
    <col min="5633" max="5633" width="8.42578125" style="55" bestFit="1" customWidth="1"/>
    <col min="5634" max="5634" width="26.7109375" style="55" bestFit="1" customWidth="1"/>
    <col min="5635" max="5635" width="9.28515625" style="55" bestFit="1" customWidth="1"/>
    <col min="5636" max="5636" width="8.7109375" style="55" bestFit="1" customWidth="1"/>
    <col min="5637" max="5637" width="19.28515625" style="55" customWidth="1"/>
    <col min="5638" max="5638" width="13.140625" style="55" bestFit="1" customWidth="1"/>
    <col min="5639" max="5642" width="13.85546875" style="55" customWidth="1"/>
    <col min="5643" max="5643" width="11.28515625" style="55" bestFit="1" customWidth="1"/>
    <col min="5644" max="5644" width="10.42578125" style="55" customWidth="1"/>
    <col min="5645" max="5888" width="9.140625" style="55"/>
    <col min="5889" max="5889" width="8.42578125" style="55" bestFit="1" customWidth="1"/>
    <col min="5890" max="5890" width="26.7109375" style="55" bestFit="1" customWidth="1"/>
    <col min="5891" max="5891" width="9.28515625" style="55" bestFit="1" customWidth="1"/>
    <col min="5892" max="5892" width="8.7109375" style="55" bestFit="1" customWidth="1"/>
    <col min="5893" max="5893" width="19.28515625" style="55" customWidth="1"/>
    <col min="5894" max="5894" width="13.140625" style="55" bestFit="1" customWidth="1"/>
    <col min="5895" max="5898" width="13.85546875" style="55" customWidth="1"/>
    <col min="5899" max="5899" width="11.28515625" style="55" bestFit="1" customWidth="1"/>
    <col min="5900" max="5900" width="10.42578125" style="55" customWidth="1"/>
    <col min="5901" max="6144" width="9.140625" style="55"/>
    <col min="6145" max="6145" width="8.42578125" style="55" bestFit="1" customWidth="1"/>
    <col min="6146" max="6146" width="26.7109375" style="55" bestFit="1" customWidth="1"/>
    <col min="6147" max="6147" width="9.28515625" style="55" bestFit="1" customWidth="1"/>
    <col min="6148" max="6148" width="8.7109375" style="55" bestFit="1" customWidth="1"/>
    <col min="6149" max="6149" width="19.28515625" style="55" customWidth="1"/>
    <col min="6150" max="6150" width="13.140625" style="55" bestFit="1" customWidth="1"/>
    <col min="6151" max="6154" width="13.85546875" style="55" customWidth="1"/>
    <col min="6155" max="6155" width="11.28515625" style="55" bestFit="1" customWidth="1"/>
    <col min="6156" max="6156" width="10.42578125" style="55" customWidth="1"/>
    <col min="6157" max="6400" width="9.140625" style="55"/>
    <col min="6401" max="6401" width="8.42578125" style="55" bestFit="1" customWidth="1"/>
    <col min="6402" max="6402" width="26.7109375" style="55" bestFit="1" customWidth="1"/>
    <col min="6403" max="6403" width="9.28515625" style="55" bestFit="1" customWidth="1"/>
    <col min="6404" max="6404" width="8.7109375" style="55" bestFit="1" customWidth="1"/>
    <col min="6405" max="6405" width="19.28515625" style="55" customWidth="1"/>
    <col min="6406" max="6406" width="13.140625" style="55" bestFit="1" customWidth="1"/>
    <col min="6407" max="6410" width="13.85546875" style="55" customWidth="1"/>
    <col min="6411" max="6411" width="11.28515625" style="55" bestFit="1" customWidth="1"/>
    <col min="6412" max="6412" width="10.42578125" style="55" customWidth="1"/>
    <col min="6413" max="6656" width="9.140625" style="55"/>
    <col min="6657" max="6657" width="8.42578125" style="55" bestFit="1" customWidth="1"/>
    <col min="6658" max="6658" width="26.7109375" style="55" bestFit="1" customWidth="1"/>
    <col min="6659" max="6659" width="9.28515625" style="55" bestFit="1" customWidth="1"/>
    <col min="6660" max="6660" width="8.7109375" style="55" bestFit="1" customWidth="1"/>
    <col min="6661" max="6661" width="19.28515625" style="55" customWidth="1"/>
    <col min="6662" max="6662" width="13.140625" style="55" bestFit="1" customWidth="1"/>
    <col min="6663" max="6666" width="13.85546875" style="55" customWidth="1"/>
    <col min="6667" max="6667" width="11.28515625" style="55" bestFit="1" customWidth="1"/>
    <col min="6668" max="6668" width="10.42578125" style="55" customWidth="1"/>
    <col min="6669" max="6912" width="9.140625" style="55"/>
    <col min="6913" max="6913" width="8.42578125" style="55" bestFit="1" customWidth="1"/>
    <col min="6914" max="6914" width="26.7109375" style="55" bestFit="1" customWidth="1"/>
    <col min="6915" max="6915" width="9.28515625" style="55" bestFit="1" customWidth="1"/>
    <col min="6916" max="6916" width="8.7109375" style="55" bestFit="1" customWidth="1"/>
    <col min="6917" max="6917" width="19.28515625" style="55" customWidth="1"/>
    <col min="6918" max="6918" width="13.140625" style="55" bestFit="1" customWidth="1"/>
    <col min="6919" max="6922" width="13.85546875" style="55" customWidth="1"/>
    <col min="6923" max="6923" width="11.28515625" style="55" bestFit="1" customWidth="1"/>
    <col min="6924" max="6924" width="10.42578125" style="55" customWidth="1"/>
    <col min="6925" max="7168" width="9.140625" style="55"/>
    <col min="7169" max="7169" width="8.42578125" style="55" bestFit="1" customWidth="1"/>
    <col min="7170" max="7170" width="26.7109375" style="55" bestFit="1" customWidth="1"/>
    <col min="7171" max="7171" width="9.28515625" style="55" bestFit="1" customWidth="1"/>
    <col min="7172" max="7172" width="8.7109375" style="55" bestFit="1" customWidth="1"/>
    <col min="7173" max="7173" width="19.28515625" style="55" customWidth="1"/>
    <col min="7174" max="7174" width="13.140625" style="55" bestFit="1" customWidth="1"/>
    <col min="7175" max="7178" width="13.85546875" style="55" customWidth="1"/>
    <col min="7179" max="7179" width="11.28515625" style="55" bestFit="1" customWidth="1"/>
    <col min="7180" max="7180" width="10.42578125" style="55" customWidth="1"/>
    <col min="7181" max="7424" width="9.140625" style="55"/>
    <col min="7425" max="7425" width="8.42578125" style="55" bestFit="1" customWidth="1"/>
    <col min="7426" max="7426" width="26.7109375" style="55" bestFit="1" customWidth="1"/>
    <col min="7427" max="7427" width="9.28515625" style="55" bestFit="1" customWidth="1"/>
    <col min="7428" max="7428" width="8.7109375" style="55" bestFit="1" customWidth="1"/>
    <col min="7429" max="7429" width="19.28515625" style="55" customWidth="1"/>
    <col min="7430" max="7430" width="13.140625" style="55" bestFit="1" customWidth="1"/>
    <col min="7431" max="7434" width="13.85546875" style="55" customWidth="1"/>
    <col min="7435" max="7435" width="11.28515625" style="55" bestFit="1" customWidth="1"/>
    <col min="7436" max="7436" width="10.42578125" style="55" customWidth="1"/>
    <col min="7437" max="7680" width="9.140625" style="55"/>
    <col min="7681" max="7681" width="8.42578125" style="55" bestFit="1" customWidth="1"/>
    <col min="7682" max="7682" width="26.7109375" style="55" bestFit="1" customWidth="1"/>
    <col min="7683" max="7683" width="9.28515625" style="55" bestFit="1" customWidth="1"/>
    <col min="7684" max="7684" width="8.7109375" style="55" bestFit="1" customWidth="1"/>
    <col min="7685" max="7685" width="19.28515625" style="55" customWidth="1"/>
    <col min="7686" max="7686" width="13.140625" style="55" bestFit="1" customWidth="1"/>
    <col min="7687" max="7690" width="13.85546875" style="55" customWidth="1"/>
    <col min="7691" max="7691" width="11.28515625" style="55" bestFit="1" customWidth="1"/>
    <col min="7692" max="7692" width="10.42578125" style="55" customWidth="1"/>
    <col min="7693" max="7936" width="9.140625" style="55"/>
    <col min="7937" max="7937" width="8.42578125" style="55" bestFit="1" customWidth="1"/>
    <col min="7938" max="7938" width="26.7109375" style="55" bestFit="1" customWidth="1"/>
    <col min="7939" max="7939" width="9.28515625" style="55" bestFit="1" customWidth="1"/>
    <col min="7940" max="7940" width="8.7109375" style="55" bestFit="1" customWidth="1"/>
    <col min="7941" max="7941" width="19.28515625" style="55" customWidth="1"/>
    <col min="7942" max="7942" width="13.140625" style="55" bestFit="1" customWidth="1"/>
    <col min="7943" max="7946" width="13.85546875" style="55" customWidth="1"/>
    <col min="7947" max="7947" width="11.28515625" style="55" bestFit="1" customWidth="1"/>
    <col min="7948" max="7948" width="10.42578125" style="55" customWidth="1"/>
    <col min="7949" max="8192" width="9.140625" style="55"/>
    <col min="8193" max="8193" width="8.42578125" style="55" bestFit="1" customWidth="1"/>
    <col min="8194" max="8194" width="26.7109375" style="55" bestFit="1" customWidth="1"/>
    <col min="8195" max="8195" width="9.28515625" style="55" bestFit="1" customWidth="1"/>
    <col min="8196" max="8196" width="8.7109375" style="55" bestFit="1" customWidth="1"/>
    <col min="8197" max="8197" width="19.28515625" style="55" customWidth="1"/>
    <col min="8198" max="8198" width="13.140625" style="55" bestFit="1" customWidth="1"/>
    <col min="8199" max="8202" width="13.85546875" style="55" customWidth="1"/>
    <col min="8203" max="8203" width="11.28515625" style="55" bestFit="1" customWidth="1"/>
    <col min="8204" max="8204" width="10.42578125" style="55" customWidth="1"/>
    <col min="8205" max="8448" width="9.140625" style="55"/>
    <col min="8449" max="8449" width="8.42578125" style="55" bestFit="1" customWidth="1"/>
    <col min="8450" max="8450" width="26.7109375" style="55" bestFit="1" customWidth="1"/>
    <col min="8451" max="8451" width="9.28515625" style="55" bestFit="1" customWidth="1"/>
    <col min="8452" max="8452" width="8.7109375" style="55" bestFit="1" customWidth="1"/>
    <col min="8453" max="8453" width="19.28515625" style="55" customWidth="1"/>
    <col min="8454" max="8454" width="13.140625" style="55" bestFit="1" customWidth="1"/>
    <col min="8455" max="8458" width="13.85546875" style="55" customWidth="1"/>
    <col min="8459" max="8459" width="11.28515625" style="55" bestFit="1" customWidth="1"/>
    <col min="8460" max="8460" width="10.42578125" style="55" customWidth="1"/>
    <col min="8461" max="8704" width="9.140625" style="55"/>
    <col min="8705" max="8705" width="8.42578125" style="55" bestFit="1" customWidth="1"/>
    <col min="8706" max="8706" width="26.7109375" style="55" bestFit="1" customWidth="1"/>
    <col min="8707" max="8707" width="9.28515625" style="55" bestFit="1" customWidth="1"/>
    <col min="8708" max="8708" width="8.7109375" style="55" bestFit="1" customWidth="1"/>
    <col min="8709" max="8709" width="19.28515625" style="55" customWidth="1"/>
    <col min="8710" max="8710" width="13.140625" style="55" bestFit="1" customWidth="1"/>
    <col min="8711" max="8714" width="13.85546875" style="55" customWidth="1"/>
    <col min="8715" max="8715" width="11.28515625" style="55" bestFit="1" customWidth="1"/>
    <col min="8716" max="8716" width="10.42578125" style="55" customWidth="1"/>
    <col min="8717" max="8960" width="9.140625" style="55"/>
    <col min="8961" max="8961" width="8.42578125" style="55" bestFit="1" customWidth="1"/>
    <col min="8962" max="8962" width="26.7109375" style="55" bestFit="1" customWidth="1"/>
    <col min="8963" max="8963" width="9.28515625" style="55" bestFit="1" customWidth="1"/>
    <col min="8964" max="8964" width="8.7109375" style="55" bestFit="1" customWidth="1"/>
    <col min="8965" max="8965" width="19.28515625" style="55" customWidth="1"/>
    <col min="8966" max="8966" width="13.140625" style="55" bestFit="1" customWidth="1"/>
    <col min="8967" max="8970" width="13.85546875" style="55" customWidth="1"/>
    <col min="8971" max="8971" width="11.28515625" style="55" bestFit="1" customWidth="1"/>
    <col min="8972" max="8972" width="10.42578125" style="55" customWidth="1"/>
    <col min="8973" max="9216" width="9.140625" style="55"/>
    <col min="9217" max="9217" width="8.42578125" style="55" bestFit="1" customWidth="1"/>
    <col min="9218" max="9218" width="26.7109375" style="55" bestFit="1" customWidth="1"/>
    <col min="9219" max="9219" width="9.28515625" style="55" bestFit="1" customWidth="1"/>
    <col min="9220" max="9220" width="8.7109375" style="55" bestFit="1" customWidth="1"/>
    <col min="9221" max="9221" width="19.28515625" style="55" customWidth="1"/>
    <col min="9222" max="9222" width="13.140625" style="55" bestFit="1" customWidth="1"/>
    <col min="9223" max="9226" width="13.85546875" style="55" customWidth="1"/>
    <col min="9227" max="9227" width="11.28515625" style="55" bestFit="1" customWidth="1"/>
    <col min="9228" max="9228" width="10.42578125" style="55" customWidth="1"/>
    <col min="9229" max="9472" width="9.140625" style="55"/>
    <col min="9473" max="9473" width="8.42578125" style="55" bestFit="1" customWidth="1"/>
    <col min="9474" max="9474" width="26.7109375" style="55" bestFit="1" customWidth="1"/>
    <col min="9475" max="9475" width="9.28515625" style="55" bestFit="1" customWidth="1"/>
    <col min="9476" max="9476" width="8.7109375" style="55" bestFit="1" customWidth="1"/>
    <col min="9477" max="9477" width="19.28515625" style="55" customWidth="1"/>
    <col min="9478" max="9478" width="13.140625" style="55" bestFit="1" customWidth="1"/>
    <col min="9479" max="9482" width="13.85546875" style="55" customWidth="1"/>
    <col min="9483" max="9483" width="11.28515625" style="55" bestFit="1" customWidth="1"/>
    <col min="9484" max="9484" width="10.42578125" style="55" customWidth="1"/>
    <col min="9485" max="9728" width="9.140625" style="55"/>
    <col min="9729" max="9729" width="8.42578125" style="55" bestFit="1" customWidth="1"/>
    <col min="9730" max="9730" width="26.7109375" style="55" bestFit="1" customWidth="1"/>
    <col min="9731" max="9731" width="9.28515625" style="55" bestFit="1" customWidth="1"/>
    <col min="9732" max="9732" width="8.7109375" style="55" bestFit="1" customWidth="1"/>
    <col min="9733" max="9733" width="19.28515625" style="55" customWidth="1"/>
    <col min="9734" max="9734" width="13.140625" style="55" bestFit="1" customWidth="1"/>
    <col min="9735" max="9738" width="13.85546875" style="55" customWidth="1"/>
    <col min="9739" max="9739" width="11.28515625" style="55" bestFit="1" customWidth="1"/>
    <col min="9740" max="9740" width="10.42578125" style="55" customWidth="1"/>
    <col min="9741" max="9984" width="9.140625" style="55"/>
    <col min="9985" max="9985" width="8.42578125" style="55" bestFit="1" customWidth="1"/>
    <col min="9986" max="9986" width="26.7109375" style="55" bestFit="1" customWidth="1"/>
    <col min="9987" max="9987" width="9.28515625" style="55" bestFit="1" customWidth="1"/>
    <col min="9988" max="9988" width="8.7109375" style="55" bestFit="1" customWidth="1"/>
    <col min="9989" max="9989" width="19.28515625" style="55" customWidth="1"/>
    <col min="9990" max="9990" width="13.140625" style="55" bestFit="1" customWidth="1"/>
    <col min="9991" max="9994" width="13.85546875" style="55" customWidth="1"/>
    <col min="9995" max="9995" width="11.28515625" style="55" bestFit="1" customWidth="1"/>
    <col min="9996" max="9996" width="10.42578125" style="55" customWidth="1"/>
    <col min="9997" max="10240" width="9.140625" style="55"/>
    <col min="10241" max="10241" width="8.42578125" style="55" bestFit="1" customWidth="1"/>
    <col min="10242" max="10242" width="26.7109375" style="55" bestFit="1" customWidth="1"/>
    <col min="10243" max="10243" width="9.28515625" style="55" bestFit="1" customWidth="1"/>
    <col min="10244" max="10244" width="8.7109375" style="55" bestFit="1" customWidth="1"/>
    <col min="10245" max="10245" width="19.28515625" style="55" customWidth="1"/>
    <col min="10246" max="10246" width="13.140625" style="55" bestFit="1" customWidth="1"/>
    <col min="10247" max="10250" width="13.85546875" style="55" customWidth="1"/>
    <col min="10251" max="10251" width="11.28515625" style="55" bestFit="1" customWidth="1"/>
    <col min="10252" max="10252" width="10.42578125" style="55" customWidth="1"/>
    <col min="10253" max="10496" width="9.140625" style="55"/>
    <col min="10497" max="10497" width="8.42578125" style="55" bestFit="1" customWidth="1"/>
    <col min="10498" max="10498" width="26.7109375" style="55" bestFit="1" customWidth="1"/>
    <col min="10499" max="10499" width="9.28515625" style="55" bestFit="1" customWidth="1"/>
    <col min="10500" max="10500" width="8.7109375" style="55" bestFit="1" customWidth="1"/>
    <col min="10501" max="10501" width="19.28515625" style="55" customWidth="1"/>
    <col min="10502" max="10502" width="13.140625" style="55" bestFit="1" customWidth="1"/>
    <col min="10503" max="10506" width="13.85546875" style="55" customWidth="1"/>
    <col min="10507" max="10507" width="11.28515625" style="55" bestFit="1" customWidth="1"/>
    <col min="10508" max="10508" width="10.42578125" style="55" customWidth="1"/>
    <col min="10509" max="10752" width="9.140625" style="55"/>
    <col min="10753" max="10753" width="8.42578125" style="55" bestFit="1" customWidth="1"/>
    <col min="10754" max="10754" width="26.7109375" style="55" bestFit="1" customWidth="1"/>
    <col min="10755" max="10755" width="9.28515625" style="55" bestFit="1" customWidth="1"/>
    <col min="10756" max="10756" width="8.7109375" style="55" bestFit="1" customWidth="1"/>
    <col min="10757" max="10757" width="19.28515625" style="55" customWidth="1"/>
    <col min="10758" max="10758" width="13.140625" style="55" bestFit="1" customWidth="1"/>
    <col min="10759" max="10762" width="13.85546875" style="55" customWidth="1"/>
    <col min="10763" max="10763" width="11.28515625" style="55" bestFit="1" customWidth="1"/>
    <col min="10764" max="10764" width="10.42578125" style="55" customWidth="1"/>
    <col min="10765" max="11008" width="9.140625" style="55"/>
    <col min="11009" max="11009" width="8.42578125" style="55" bestFit="1" customWidth="1"/>
    <col min="11010" max="11010" width="26.7109375" style="55" bestFit="1" customWidth="1"/>
    <col min="11011" max="11011" width="9.28515625" style="55" bestFit="1" customWidth="1"/>
    <col min="11012" max="11012" width="8.7109375" style="55" bestFit="1" customWidth="1"/>
    <col min="11013" max="11013" width="19.28515625" style="55" customWidth="1"/>
    <col min="11014" max="11014" width="13.140625" style="55" bestFit="1" customWidth="1"/>
    <col min="11015" max="11018" width="13.85546875" style="55" customWidth="1"/>
    <col min="11019" max="11019" width="11.28515625" style="55" bestFit="1" customWidth="1"/>
    <col min="11020" max="11020" width="10.42578125" style="55" customWidth="1"/>
    <col min="11021" max="11264" width="9.140625" style="55"/>
    <col min="11265" max="11265" width="8.42578125" style="55" bestFit="1" customWidth="1"/>
    <col min="11266" max="11266" width="26.7109375" style="55" bestFit="1" customWidth="1"/>
    <col min="11267" max="11267" width="9.28515625" style="55" bestFit="1" customWidth="1"/>
    <col min="11268" max="11268" width="8.7109375" style="55" bestFit="1" customWidth="1"/>
    <col min="11269" max="11269" width="19.28515625" style="55" customWidth="1"/>
    <col min="11270" max="11270" width="13.140625" style="55" bestFit="1" customWidth="1"/>
    <col min="11271" max="11274" width="13.85546875" style="55" customWidth="1"/>
    <col min="11275" max="11275" width="11.28515625" style="55" bestFit="1" customWidth="1"/>
    <col min="11276" max="11276" width="10.42578125" style="55" customWidth="1"/>
    <col min="11277" max="11520" width="9.140625" style="55"/>
    <col min="11521" max="11521" width="8.42578125" style="55" bestFit="1" customWidth="1"/>
    <col min="11522" max="11522" width="26.7109375" style="55" bestFit="1" customWidth="1"/>
    <col min="11523" max="11523" width="9.28515625" style="55" bestFit="1" customWidth="1"/>
    <col min="11524" max="11524" width="8.7109375" style="55" bestFit="1" customWidth="1"/>
    <col min="11525" max="11525" width="19.28515625" style="55" customWidth="1"/>
    <col min="11526" max="11526" width="13.140625" style="55" bestFit="1" customWidth="1"/>
    <col min="11527" max="11530" width="13.85546875" style="55" customWidth="1"/>
    <col min="11531" max="11531" width="11.28515625" style="55" bestFit="1" customWidth="1"/>
    <col min="11532" max="11532" width="10.42578125" style="55" customWidth="1"/>
    <col min="11533" max="11776" width="9.140625" style="55"/>
    <col min="11777" max="11777" width="8.42578125" style="55" bestFit="1" customWidth="1"/>
    <col min="11778" max="11778" width="26.7109375" style="55" bestFit="1" customWidth="1"/>
    <col min="11779" max="11779" width="9.28515625" style="55" bestFit="1" customWidth="1"/>
    <col min="11780" max="11780" width="8.7109375" style="55" bestFit="1" customWidth="1"/>
    <col min="11781" max="11781" width="19.28515625" style="55" customWidth="1"/>
    <col min="11782" max="11782" width="13.140625" style="55" bestFit="1" customWidth="1"/>
    <col min="11783" max="11786" width="13.85546875" style="55" customWidth="1"/>
    <col min="11787" max="11787" width="11.28515625" style="55" bestFit="1" customWidth="1"/>
    <col min="11788" max="11788" width="10.42578125" style="55" customWidth="1"/>
    <col min="11789" max="12032" width="9.140625" style="55"/>
    <col min="12033" max="12033" width="8.42578125" style="55" bestFit="1" customWidth="1"/>
    <col min="12034" max="12034" width="26.7109375" style="55" bestFit="1" customWidth="1"/>
    <col min="12035" max="12035" width="9.28515625" style="55" bestFit="1" customWidth="1"/>
    <col min="12036" max="12036" width="8.7109375" style="55" bestFit="1" customWidth="1"/>
    <col min="12037" max="12037" width="19.28515625" style="55" customWidth="1"/>
    <col min="12038" max="12038" width="13.140625" style="55" bestFit="1" customWidth="1"/>
    <col min="12039" max="12042" width="13.85546875" style="55" customWidth="1"/>
    <col min="12043" max="12043" width="11.28515625" style="55" bestFit="1" customWidth="1"/>
    <col min="12044" max="12044" width="10.42578125" style="55" customWidth="1"/>
    <col min="12045" max="12288" width="9.140625" style="55"/>
    <col min="12289" max="12289" width="8.42578125" style="55" bestFit="1" customWidth="1"/>
    <col min="12290" max="12290" width="26.7109375" style="55" bestFit="1" customWidth="1"/>
    <col min="12291" max="12291" width="9.28515625" style="55" bestFit="1" customWidth="1"/>
    <col min="12292" max="12292" width="8.7109375" style="55" bestFit="1" customWidth="1"/>
    <col min="12293" max="12293" width="19.28515625" style="55" customWidth="1"/>
    <col min="12294" max="12294" width="13.140625" style="55" bestFit="1" customWidth="1"/>
    <col min="12295" max="12298" width="13.85546875" style="55" customWidth="1"/>
    <col min="12299" max="12299" width="11.28515625" style="55" bestFit="1" customWidth="1"/>
    <col min="12300" max="12300" width="10.42578125" style="55" customWidth="1"/>
    <col min="12301" max="12544" width="9.140625" style="55"/>
    <col min="12545" max="12545" width="8.42578125" style="55" bestFit="1" customWidth="1"/>
    <col min="12546" max="12546" width="26.7109375" style="55" bestFit="1" customWidth="1"/>
    <col min="12547" max="12547" width="9.28515625" style="55" bestFit="1" customWidth="1"/>
    <col min="12548" max="12548" width="8.7109375" style="55" bestFit="1" customWidth="1"/>
    <col min="12549" max="12549" width="19.28515625" style="55" customWidth="1"/>
    <col min="12550" max="12550" width="13.140625" style="55" bestFit="1" customWidth="1"/>
    <col min="12551" max="12554" width="13.85546875" style="55" customWidth="1"/>
    <col min="12555" max="12555" width="11.28515625" style="55" bestFit="1" customWidth="1"/>
    <col min="12556" max="12556" width="10.42578125" style="55" customWidth="1"/>
    <col min="12557" max="12800" width="9.140625" style="55"/>
    <col min="12801" max="12801" width="8.42578125" style="55" bestFit="1" customWidth="1"/>
    <col min="12802" max="12802" width="26.7109375" style="55" bestFit="1" customWidth="1"/>
    <col min="12803" max="12803" width="9.28515625" style="55" bestFit="1" customWidth="1"/>
    <col min="12804" max="12804" width="8.7109375" style="55" bestFit="1" customWidth="1"/>
    <col min="12805" max="12805" width="19.28515625" style="55" customWidth="1"/>
    <col min="12806" max="12806" width="13.140625" style="55" bestFit="1" customWidth="1"/>
    <col min="12807" max="12810" width="13.85546875" style="55" customWidth="1"/>
    <col min="12811" max="12811" width="11.28515625" style="55" bestFit="1" customWidth="1"/>
    <col min="12812" max="12812" width="10.42578125" style="55" customWidth="1"/>
    <col min="12813" max="13056" width="9.140625" style="55"/>
    <col min="13057" max="13057" width="8.42578125" style="55" bestFit="1" customWidth="1"/>
    <col min="13058" max="13058" width="26.7109375" style="55" bestFit="1" customWidth="1"/>
    <col min="13059" max="13059" width="9.28515625" style="55" bestFit="1" customWidth="1"/>
    <col min="13060" max="13060" width="8.7109375" style="55" bestFit="1" customWidth="1"/>
    <col min="13061" max="13061" width="19.28515625" style="55" customWidth="1"/>
    <col min="13062" max="13062" width="13.140625" style="55" bestFit="1" customWidth="1"/>
    <col min="13063" max="13066" width="13.85546875" style="55" customWidth="1"/>
    <col min="13067" max="13067" width="11.28515625" style="55" bestFit="1" customWidth="1"/>
    <col min="13068" max="13068" width="10.42578125" style="55" customWidth="1"/>
    <col min="13069" max="13312" width="9.140625" style="55"/>
    <col min="13313" max="13313" width="8.42578125" style="55" bestFit="1" customWidth="1"/>
    <col min="13314" max="13314" width="26.7109375" style="55" bestFit="1" customWidth="1"/>
    <col min="13315" max="13315" width="9.28515625" style="55" bestFit="1" customWidth="1"/>
    <col min="13316" max="13316" width="8.7109375" style="55" bestFit="1" customWidth="1"/>
    <col min="13317" max="13317" width="19.28515625" style="55" customWidth="1"/>
    <col min="13318" max="13318" width="13.140625" style="55" bestFit="1" customWidth="1"/>
    <col min="13319" max="13322" width="13.85546875" style="55" customWidth="1"/>
    <col min="13323" max="13323" width="11.28515625" style="55" bestFit="1" customWidth="1"/>
    <col min="13324" max="13324" width="10.42578125" style="55" customWidth="1"/>
    <col min="13325" max="13568" width="9.140625" style="55"/>
    <col min="13569" max="13569" width="8.42578125" style="55" bestFit="1" customWidth="1"/>
    <col min="13570" max="13570" width="26.7109375" style="55" bestFit="1" customWidth="1"/>
    <col min="13571" max="13571" width="9.28515625" style="55" bestFit="1" customWidth="1"/>
    <col min="13572" max="13572" width="8.7109375" style="55" bestFit="1" customWidth="1"/>
    <col min="13573" max="13573" width="19.28515625" style="55" customWidth="1"/>
    <col min="13574" max="13574" width="13.140625" style="55" bestFit="1" customWidth="1"/>
    <col min="13575" max="13578" width="13.85546875" style="55" customWidth="1"/>
    <col min="13579" max="13579" width="11.28515625" style="55" bestFit="1" customWidth="1"/>
    <col min="13580" max="13580" width="10.42578125" style="55" customWidth="1"/>
    <col min="13581" max="13824" width="9.140625" style="55"/>
    <col min="13825" max="13825" width="8.42578125" style="55" bestFit="1" customWidth="1"/>
    <col min="13826" max="13826" width="26.7109375" style="55" bestFit="1" customWidth="1"/>
    <col min="13827" max="13827" width="9.28515625" style="55" bestFit="1" customWidth="1"/>
    <col min="13828" max="13828" width="8.7109375" style="55" bestFit="1" customWidth="1"/>
    <col min="13829" max="13829" width="19.28515625" style="55" customWidth="1"/>
    <col min="13830" max="13830" width="13.140625" style="55" bestFit="1" customWidth="1"/>
    <col min="13831" max="13834" width="13.85546875" style="55" customWidth="1"/>
    <col min="13835" max="13835" width="11.28515625" style="55" bestFit="1" customWidth="1"/>
    <col min="13836" max="13836" width="10.42578125" style="55" customWidth="1"/>
    <col min="13837" max="14080" width="9.140625" style="55"/>
    <col min="14081" max="14081" width="8.42578125" style="55" bestFit="1" customWidth="1"/>
    <col min="14082" max="14082" width="26.7109375" style="55" bestFit="1" customWidth="1"/>
    <col min="14083" max="14083" width="9.28515625" style="55" bestFit="1" customWidth="1"/>
    <col min="14084" max="14084" width="8.7109375" style="55" bestFit="1" customWidth="1"/>
    <col min="14085" max="14085" width="19.28515625" style="55" customWidth="1"/>
    <col min="14086" max="14086" width="13.140625" style="55" bestFit="1" customWidth="1"/>
    <col min="14087" max="14090" width="13.85546875" style="55" customWidth="1"/>
    <col min="14091" max="14091" width="11.28515625" style="55" bestFit="1" customWidth="1"/>
    <col min="14092" max="14092" width="10.42578125" style="55" customWidth="1"/>
    <col min="14093" max="14336" width="9.140625" style="55"/>
    <col min="14337" max="14337" width="8.42578125" style="55" bestFit="1" customWidth="1"/>
    <col min="14338" max="14338" width="26.7109375" style="55" bestFit="1" customWidth="1"/>
    <col min="14339" max="14339" width="9.28515625" style="55" bestFit="1" customWidth="1"/>
    <col min="14340" max="14340" width="8.7109375" style="55" bestFit="1" customWidth="1"/>
    <col min="14341" max="14341" width="19.28515625" style="55" customWidth="1"/>
    <col min="14342" max="14342" width="13.140625" style="55" bestFit="1" customWidth="1"/>
    <col min="14343" max="14346" width="13.85546875" style="55" customWidth="1"/>
    <col min="14347" max="14347" width="11.28515625" style="55" bestFit="1" customWidth="1"/>
    <col min="14348" max="14348" width="10.42578125" style="55" customWidth="1"/>
    <col min="14349" max="14592" width="9.140625" style="55"/>
    <col min="14593" max="14593" width="8.42578125" style="55" bestFit="1" customWidth="1"/>
    <col min="14594" max="14594" width="26.7109375" style="55" bestFit="1" customWidth="1"/>
    <col min="14595" max="14595" width="9.28515625" style="55" bestFit="1" customWidth="1"/>
    <col min="14596" max="14596" width="8.7109375" style="55" bestFit="1" customWidth="1"/>
    <col min="14597" max="14597" width="19.28515625" style="55" customWidth="1"/>
    <col min="14598" max="14598" width="13.140625" style="55" bestFit="1" customWidth="1"/>
    <col min="14599" max="14602" width="13.85546875" style="55" customWidth="1"/>
    <col min="14603" max="14603" width="11.28515625" style="55" bestFit="1" customWidth="1"/>
    <col min="14604" max="14604" width="10.42578125" style="55" customWidth="1"/>
    <col min="14605" max="14848" width="9.140625" style="55"/>
    <col min="14849" max="14849" width="8.42578125" style="55" bestFit="1" customWidth="1"/>
    <col min="14850" max="14850" width="26.7109375" style="55" bestFit="1" customWidth="1"/>
    <col min="14851" max="14851" width="9.28515625" style="55" bestFit="1" customWidth="1"/>
    <col min="14852" max="14852" width="8.7109375" style="55" bestFit="1" customWidth="1"/>
    <col min="14853" max="14853" width="19.28515625" style="55" customWidth="1"/>
    <col min="14854" max="14854" width="13.140625" style="55" bestFit="1" customWidth="1"/>
    <col min="14855" max="14858" width="13.85546875" style="55" customWidth="1"/>
    <col min="14859" max="14859" width="11.28515625" style="55" bestFit="1" customWidth="1"/>
    <col min="14860" max="14860" width="10.42578125" style="55" customWidth="1"/>
    <col min="14861" max="15104" width="9.140625" style="55"/>
    <col min="15105" max="15105" width="8.42578125" style="55" bestFit="1" customWidth="1"/>
    <col min="15106" max="15106" width="26.7109375" style="55" bestFit="1" customWidth="1"/>
    <col min="15107" max="15107" width="9.28515625" style="55" bestFit="1" customWidth="1"/>
    <col min="15108" max="15108" width="8.7109375" style="55" bestFit="1" customWidth="1"/>
    <col min="15109" max="15109" width="19.28515625" style="55" customWidth="1"/>
    <col min="15110" max="15110" width="13.140625" style="55" bestFit="1" customWidth="1"/>
    <col min="15111" max="15114" width="13.85546875" style="55" customWidth="1"/>
    <col min="15115" max="15115" width="11.28515625" style="55" bestFit="1" customWidth="1"/>
    <col min="15116" max="15116" width="10.42578125" style="55" customWidth="1"/>
    <col min="15117" max="15360" width="9.140625" style="55"/>
    <col min="15361" max="15361" width="8.42578125" style="55" bestFit="1" customWidth="1"/>
    <col min="15362" max="15362" width="26.7109375" style="55" bestFit="1" customWidth="1"/>
    <col min="15363" max="15363" width="9.28515625" style="55" bestFit="1" customWidth="1"/>
    <col min="15364" max="15364" width="8.7109375" style="55" bestFit="1" customWidth="1"/>
    <col min="15365" max="15365" width="19.28515625" style="55" customWidth="1"/>
    <col min="15366" max="15366" width="13.140625" style="55" bestFit="1" customWidth="1"/>
    <col min="15367" max="15370" width="13.85546875" style="55" customWidth="1"/>
    <col min="15371" max="15371" width="11.28515625" style="55" bestFit="1" customWidth="1"/>
    <col min="15372" max="15372" width="10.42578125" style="55" customWidth="1"/>
    <col min="15373" max="15616" width="9.140625" style="55"/>
    <col min="15617" max="15617" width="8.42578125" style="55" bestFit="1" customWidth="1"/>
    <col min="15618" max="15618" width="26.7109375" style="55" bestFit="1" customWidth="1"/>
    <col min="15619" max="15619" width="9.28515625" style="55" bestFit="1" customWidth="1"/>
    <col min="15620" max="15620" width="8.7109375" style="55" bestFit="1" customWidth="1"/>
    <col min="15621" max="15621" width="19.28515625" style="55" customWidth="1"/>
    <col min="15622" max="15622" width="13.140625" style="55" bestFit="1" customWidth="1"/>
    <col min="15623" max="15626" width="13.85546875" style="55" customWidth="1"/>
    <col min="15627" max="15627" width="11.28515625" style="55" bestFit="1" customWidth="1"/>
    <col min="15628" max="15628" width="10.42578125" style="55" customWidth="1"/>
    <col min="15629" max="15872" width="9.140625" style="55"/>
    <col min="15873" max="15873" width="8.42578125" style="55" bestFit="1" customWidth="1"/>
    <col min="15874" max="15874" width="26.7109375" style="55" bestFit="1" customWidth="1"/>
    <col min="15875" max="15875" width="9.28515625" style="55" bestFit="1" customWidth="1"/>
    <col min="15876" max="15876" width="8.7109375" style="55" bestFit="1" customWidth="1"/>
    <col min="15877" max="15877" width="19.28515625" style="55" customWidth="1"/>
    <col min="15878" max="15878" width="13.140625" style="55" bestFit="1" customWidth="1"/>
    <col min="15879" max="15882" width="13.85546875" style="55" customWidth="1"/>
    <col min="15883" max="15883" width="11.28515625" style="55" bestFit="1" customWidth="1"/>
    <col min="15884" max="15884" width="10.42578125" style="55" customWidth="1"/>
    <col min="15885" max="16128" width="9.140625" style="55"/>
    <col min="16129" max="16129" width="8.42578125" style="55" bestFit="1" customWidth="1"/>
    <col min="16130" max="16130" width="26.7109375" style="55" bestFit="1" customWidth="1"/>
    <col min="16131" max="16131" width="9.28515625" style="55" bestFit="1" customWidth="1"/>
    <col min="16132" max="16132" width="8.7109375" style="55" bestFit="1" customWidth="1"/>
    <col min="16133" max="16133" width="19.28515625" style="55" customWidth="1"/>
    <col min="16134" max="16134" width="13.140625" style="55" bestFit="1" customWidth="1"/>
    <col min="16135" max="16138" width="13.85546875" style="55" customWidth="1"/>
    <col min="16139" max="16139" width="11.28515625" style="55" bestFit="1" customWidth="1"/>
    <col min="16140" max="16140" width="10.42578125" style="55" customWidth="1"/>
    <col min="16141" max="16384" width="9.140625" style="55"/>
  </cols>
  <sheetData>
    <row r="1" spans="1:12" x14ac:dyDescent="0.2">
      <c r="A1" s="55" t="s">
        <v>97</v>
      </c>
      <c r="B1" s="61" t="s">
        <v>126</v>
      </c>
      <c r="C1" s="273" t="s">
        <v>100</v>
      </c>
      <c r="D1" s="274"/>
      <c r="E1" s="274"/>
      <c r="F1" s="274"/>
      <c r="G1" s="274"/>
      <c r="H1" s="274"/>
      <c r="I1" s="274"/>
      <c r="J1" s="3"/>
      <c r="K1" s="56" t="s">
        <v>101</v>
      </c>
      <c r="L1" s="57">
        <v>1</v>
      </c>
    </row>
    <row r="3" spans="1:12" ht="26.25" customHeight="1" x14ac:dyDescent="0.2">
      <c r="A3" s="60" t="s">
        <v>102</v>
      </c>
      <c r="B3" s="60" t="s">
        <v>103</v>
      </c>
      <c r="C3" s="60" t="s">
        <v>104</v>
      </c>
      <c r="D3" s="60" t="s">
        <v>105</v>
      </c>
      <c r="E3" s="60" t="s">
        <v>106</v>
      </c>
      <c r="F3" s="60" t="s">
        <v>107</v>
      </c>
      <c r="G3" s="60" t="s">
        <v>108</v>
      </c>
      <c r="H3" s="60" t="s">
        <v>109</v>
      </c>
      <c r="I3" s="60" t="s">
        <v>110</v>
      </c>
      <c r="J3" s="60" t="s">
        <v>111</v>
      </c>
      <c r="K3" s="60" t="s">
        <v>112</v>
      </c>
      <c r="L3" s="60" t="s">
        <v>113</v>
      </c>
    </row>
    <row r="4" spans="1:12" ht="25.5" customHeight="1" x14ac:dyDescent="0.2">
      <c r="A4" s="59" t="s">
        <v>34</v>
      </c>
      <c r="B4" s="58" t="s">
        <v>17</v>
      </c>
      <c r="C4" s="58" t="s">
        <v>136</v>
      </c>
      <c r="D4" s="58" t="s">
        <v>137</v>
      </c>
      <c r="E4" s="64" t="s">
        <v>138</v>
      </c>
      <c r="F4" s="64" t="s">
        <v>139</v>
      </c>
      <c r="G4" s="65">
        <v>45933</v>
      </c>
      <c r="H4" s="65">
        <v>45933</v>
      </c>
      <c r="I4" s="58"/>
      <c r="J4" s="58"/>
      <c r="K4" s="58" t="s">
        <v>140</v>
      </c>
      <c r="L4" s="58" t="s">
        <v>117</v>
      </c>
    </row>
    <row r="5" spans="1:12" ht="25.5" customHeight="1" x14ac:dyDescent="0.2">
      <c r="A5" s="59" t="s">
        <v>35</v>
      </c>
      <c r="B5" s="64" t="s">
        <v>0</v>
      </c>
      <c r="C5" s="58" t="s">
        <v>141</v>
      </c>
      <c r="D5" s="58" t="s">
        <v>142</v>
      </c>
      <c r="E5" s="64" t="s">
        <v>138</v>
      </c>
      <c r="F5" s="64" t="s">
        <v>143</v>
      </c>
      <c r="G5" s="65">
        <v>45933</v>
      </c>
      <c r="H5" s="65">
        <v>45933</v>
      </c>
      <c r="I5" s="58"/>
      <c r="J5" s="58"/>
      <c r="K5" s="58" t="s">
        <v>140</v>
      </c>
      <c r="L5" s="58" t="s">
        <v>117</v>
      </c>
    </row>
    <row r="6" spans="1:12" ht="25.5" customHeight="1" x14ac:dyDescent="0.2">
      <c r="A6" s="59" t="s">
        <v>36</v>
      </c>
      <c r="B6" s="64" t="s">
        <v>144</v>
      </c>
      <c r="C6" s="58" t="s">
        <v>145</v>
      </c>
      <c r="D6" s="58" t="s">
        <v>145</v>
      </c>
      <c r="E6" s="64" t="s">
        <v>138</v>
      </c>
      <c r="F6" s="64" t="s">
        <v>146</v>
      </c>
      <c r="G6" s="65">
        <v>45933</v>
      </c>
      <c r="H6" s="65">
        <v>45933</v>
      </c>
      <c r="I6" s="58"/>
      <c r="J6" s="58"/>
      <c r="K6" s="58" t="s">
        <v>140</v>
      </c>
      <c r="L6" s="58" t="s">
        <v>117</v>
      </c>
    </row>
    <row r="7" spans="1:12" ht="25.5" customHeight="1" x14ac:dyDescent="0.2">
      <c r="A7" s="59" t="s">
        <v>37</v>
      </c>
      <c r="B7" s="66" t="s">
        <v>151</v>
      </c>
      <c r="C7" s="66" t="s">
        <v>153</v>
      </c>
      <c r="D7" s="58" t="s">
        <v>154</v>
      </c>
      <c r="E7" s="66" t="s">
        <v>148</v>
      </c>
      <c r="F7" s="66" t="s">
        <v>157</v>
      </c>
      <c r="G7" s="67">
        <v>45950</v>
      </c>
      <c r="H7" s="67">
        <v>45950</v>
      </c>
      <c r="I7" s="58"/>
      <c r="J7" s="58"/>
      <c r="K7" s="58" t="s">
        <v>140</v>
      </c>
      <c r="L7" s="58" t="s">
        <v>117</v>
      </c>
    </row>
    <row r="8" spans="1:12" ht="25.5" customHeight="1" x14ac:dyDescent="0.2">
      <c r="A8" s="59" t="s">
        <v>38</v>
      </c>
      <c r="B8" s="66" t="s">
        <v>152</v>
      </c>
      <c r="C8" s="58" t="s">
        <v>155</v>
      </c>
      <c r="D8" s="58" t="s">
        <v>156</v>
      </c>
      <c r="E8" s="66" t="s">
        <v>148</v>
      </c>
      <c r="F8" s="66" t="s">
        <v>157</v>
      </c>
      <c r="G8" s="67">
        <v>45950</v>
      </c>
      <c r="H8" s="67">
        <v>45950</v>
      </c>
      <c r="I8" s="58"/>
      <c r="J8" s="58"/>
      <c r="K8" s="58" t="s">
        <v>140</v>
      </c>
      <c r="L8" s="58" t="s">
        <v>117</v>
      </c>
    </row>
    <row r="9" spans="1:12" ht="25.5" customHeight="1" x14ac:dyDescent="0.2">
      <c r="A9" s="59" t="s">
        <v>39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</row>
    <row r="10" spans="1:12" ht="25.5" customHeight="1" x14ac:dyDescent="0.2">
      <c r="A10" s="59" t="s">
        <v>40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</row>
    <row r="11" spans="1:12" ht="25.5" customHeight="1" x14ac:dyDescent="0.2">
      <c r="A11" s="59" t="s">
        <v>41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</row>
    <row r="12" spans="1:12" ht="25.5" customHeight="1" x14ac:dyDescent="0.2">
      <c r="A12" s="59" t="s">
        <v>42</v>
      </c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</row>
    <row r="13" spans="1:12" ht="25.5" customHeight="1" x14ac:dyDescent="0.2">
      <c r="A13" s="59" t="s">
        <v>43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</row>
    <row r="14" spans="1:12" ht="25.5" customHeight="1" x14ac:dyDescent="0.2">
      <c r="A14" s="59" t="s">
        <v>44</v>
      </c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</row>
    <row r="15" spans="1:12" ht="25.5" customHeight="1" x14ac:dyDescent="0.2">
      <c r="A15" s="59" t="s">
        <v>45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</row>
    <row r="16" spans="1:12" ht="25.5" customHeight="1" x14ac:dyDescent="0.2">
      <c r="A16" s="59" t="s">
        <v>46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</row>
    <row r="17" spans="1:12" ht="25.5" customHeight="1" x14ac:dyDescent="0.2">
      <c r="A17" s="59" t="s">
        <v>47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</row>
    <row r="18" spans="1:12" ht="25.5" customHeight="1" x14ac:dyDescent="0.2">
      <c r="A18" s="59" t="s">
        <v>48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</row>
    <row r="19" spans="1:12" ht="25.5" customHeight="1" x14ac:dyDescent="0.2">
      <c r="A19" s="59" t="s">
        <v>49</v>
      </c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</row>
    <row r="20" spans="1:12" ht="25.5" customHeight="1" x14ac:dyDescent="0.2">
      <c r="A20" s="59" t="s">
        <v>50</v>
      </c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</row>
    <row r="21" spans="1:12" ht="25.5" customHeight="1" x14ac:dyDescent="0.2">
      <c r="A21" s="59" t="s">
        <v>51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</row>
    <row r="22" spans="1:12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2" x14ac:dyDescent="0.2">
      <c r="B23" s="3" t="s">
        <v>114</v>
      </c>
      <c r="C23" s="54"/>
      <c r="D23" s="3"/>
      <c r="E23" s="3"/>
      <c r="F23" s="3"/>
      <c r="G23" s="3"/>
      <c r="H23" s="3"/>
      <c r="I23" s="3"/>
      <c r="J23" s="3"/>
      <c r="K23" s="3"/>
    </row>
    <row r="24" spans="1:12" x14ac:dyDescent="0.2">
      <c r="B24" s="3" t="s">
        <v>115</v>
      </c>
      <c r="C24" s="54"/>
      <c r="D24" s="3"/>
      <c r="E24" s="3"/>
      <c r="F24" s="3"/>
      <c r="G24" s="3"/>
      <c r="H24" s="3"/>
      <c r="I24" s="3"/>
      <c r="J24" s="3"/>
      <c r="K24" s="3"/>
    </row>
    <row r="25" spans="1:12" x14ac:dyDescent="0.2">
      <c r="B25" s="55" t="s">
        <v>116</v>
      </c>
      <c r="C25" s="54"/>
      <c r="D25" s="3"/>
      <c r="E25" s="3"/>
      <c r="F25" s="3"/>
      <c r="G25" s="3"/>
      <c r="H25" s="3"/>
      <c r="I25" s="3"/>
      <c r="J25" s="3"/>
      <c r="K25" s="3"/>
    </row>
  </sheetData>
  <mergeCells count="1">
    <mergeCell ref="C1:I1"/>
  </mergeCells>
  <pageMargins left="0.25" right="0.25" top="0.75" bottom="0.75" header="0.3" footer="0.3"/>
  <pageSetup paperSize="9" scale="85" orientation="landscape" r:id="rId1"/>
  <headerFooter alignWithMargins="0">
    <oddHeader>&amp;CSZIGORÚ SZÁMADÁSÚ NYOMTATVÁNYOK NYILVÁNTARTÓ LAPJA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764C1-133F-4238-BFBD-C4C22C920A55}">
  <dimension ref="A1:V19"/>
  <sheetViews>
    <sheetView zoomScale="106" zoomScaleNormal="106" zoomScaleSheetLayoutView="96" workbookViewId="0">
      <selection activeCell="B16" sqref="B16:G16"/>
    </sheetView>
  </sheetViews>
  <sheetFormatPr defaultColWidth="0" defaultRowHeight="15" zeroHeight="1" x14ac:dyDescent="0.25"/>
  <cols>
    <col min="1" max="1" width="4.28515625" customWidth="1"/>
    <col min="2" max="2" width="21.7109375" customWidth="1"/>
    <col min="3" max="3" width="11.7109375" customWidth="1"/>
    <col min="4" max="4" width="5.7109375" customWidth="1"/>
    <col min="5" max="5" width="3.28515625" customWidth="1"/>
    <col min="6" max="6" width="16.7109375" bestFit="1" customWidth="1"/>
    <col min="7" max="7" width="16.7109375" customWidth="1"/>
    <col min="8" max="8" width="4.28515625" customWidth="1"/>
    <col min="9" max="9" width="3.7109375" hidden="1" customWidth="1"/>
    <col min="10" max="20" width="9.140625" hidden="1" customWidth="1"/>
    <col min="21" max="22" width="0" hidden="1" customWidth="1"/>
    <col min="23" max="16384" width="9.140625" hidden="1"/>
  </cols>
  <sheetData>
    <row r="1" spans="1:8" ht="21.6" customHeight="1" x14ac:dyDescent="0.25">
      <c r="A1" s="82"/>
      <c r="B1" s="81" t="s">
        <v>133</v>
      </c>
      <c r="C1" s="80"/>
      <c r="D1" s="80"/>
      <c r="E1" s="80"/>
      <c r="F1" s="80"/>
      <c r="G1" s="275" t="s">
        <v>179</v>
      </c>
      <c r="H1" s="276"/>
    </row>
    <row r="2" spans="1:8" ht="14.45" customHeight="1" x14ac:dyDescent="0.25">
      <c r="A2" s="75"/>
      <c r="B2" s="73" t="s">
        <v>178</v>
      </c>
      <c r="C2" s="73"/>
      <c r="D2" s="73"/>
      <c r="E2" s="73"/>
      <c r="F2" s="73"/>
      <c r="G2" s="277"/>
      <c r="H2" s="278"/>
    </row>
    <row r="3" spans="1:8" ht="14.45" customHeight="1" x14ac:dyDescent="0.25">
      <c r="A3" s="75"/>
      <c r="B3" s="73" t="s">
        <v>177</v>
      </c>
      <c r="C3" s="73"/>
      <c r="D3" s="73"/>
      <c r="E3" s="73"/>
      <c r="F3" s="73"/>
      <c r="G3" s="73"/>
      <c r="H3" s="71"/>
    </row>
    <row r="4" spans="1:8" x14ac:dyDescent="0.25">
      <c r="A4" s="75"/>
      <c r="B4" s="73"/>
      <c r="C4" s="73"/>
      <c r="D4" s="73"/>
      <c r="E4" s="73"/>
      <c r="F4" s="73"/>
      <c r="G4" s="73"/>
      <c r="H4" s="71"/>
    </row>
    <row r="5" spans="1:8" ht="14.45" customHeight="1" x14ac:dyDescent="0.25">
      <c r="A5" s="79"/>
      <c r="B5" s="282" t="s">
        <v>176</v>
      </c>
      <c r="C5" s="283"/>
      <c r="D5" s="73"/>
      <c r="E5" s="73"/>
      <c r="F5" s="73"/>
      <c r="G5" s="73"/>
      <c r="H5" s="71"/>
    </row>
    <row r="6" spans="1:8" ht="14.45" customHeight="1" x14ac:dyDescent="0.25">
      <c r="A6" s="79"/>
      <c r="B6" s="284"/>
      <c r="C6" s="285"/>
      <c r="D6" s="73"/>
      <c r="E6" s="73"/>
      <c r="F6" s="73" t="s">
        <v>175</v>
      </c>
      <c r="G6" s="78">
        <v>45946</v>
      </c>
      <c r="H6" s="71"/>
    </row>
    <row r="7" spans="1:8" x14ac:dyDescent="0.25">
      <c r="A7" s="75"/>
      <c r="B7" s="73"/>
      <c r="C7" s="73"/>
      <c r="D7" s="73"/>
      <c r="E7" s="73"/>
      <c r="F7" s="73"/>
      <c r="G7" s="73"/>
      <c r="H7" s="71"/>
    </row>
    <row r="8" spans="1:8" x14ac:dyDescent="0.25">
      <c r="A8" s="75"/>
      <c r="B8" s="280" t="s">
        <v>174</v>
      </c>
      <c r="C8" s="280"/>
      <c r="D8" s="280"/>
      <c r="E8" s="73"/>
      <c r="F8" s="279" t="s">
        <v>126</v>
      </c>
      <c r="G8" s="279"/>
      <c r="H8" s="71"/>
    </row>
    <row r="9" spans="1:8" x14ac:dyDescent="0.25">
      <c r="A9" s="75"/>
      <c r="B9" s="280" t="s">
        <v>173</v>
      </c>
      <c r="C9" s="280"/>
      <c r="D9" s="280"/>
      <c r="E9" s="73"/>
      <c r="F9" s="279" t="s">
        <v>180</v>
      </c>
      <c r="G9" s="279"/>
      <c r="H9" s="71"/>
    </row>
    <row r="10" spans="1:8" x14ac:dyDescent="0.25">
      <c r="A10" s="75"/>
      <c r="B10" s="73"/>
      <c r="C10" s="73"/>
      <c r="D10" s="73"/>
      <c r="E10" s="73"/>
      <c r="F10" s="73"/>
      <c r="G10" s="73"/>
      <c r="H10" s="71"/>
    </row>
    <row r="11" spans="1:8" x14ac:dyDescent="0.25">
      <c r="A11" s="75"/>
      <c r="B11" s="280" t="s">
        <v>172</v>
      </c>
      <c r="C11" s="280"/>
      <c r="D11" s="280"/>
      <c r="E11" s="73"/>
      <c r="F11" s="279" t="s">
        <v>183</v>
      </c>
      <c r="G11" s="279"/>
      <c r="H11" s="71"/>
    </row>
    <row r="12" spans="1:8" x14ac:dyDescent="0.25">
      <c r="A12" s="75"/>
      <c r="B12" s="280" t="s">
        <v>171</v>
      </c>
      <c r="C12" s="280"/>
      <c r="D12" s="280"/>
      <c r="E12" s="73"/>
      <c r="F12" s="279" t="s">
        <v>184</v>
      </c>
      <c r="G12" s="279"/>
      <c r="H12" s="71"/>
    </row>
    <row r="13" spans="1:8" x14ac:dyDescent="0.25">
      <c r="A13" s="75"/>
      <c r="B13" s="280" t="s">
        <v>170</v>
      </c>
      <c r="C13" s="280"/>
      <c r="D13" s="280"/>
      <c r="E13" s="73"/>
      <c r="F13" s="279">
        <v>304800</v>
      </c>
      <c r="G13" s="279"/>
      <c r="H13" s="71"/>
    </row>
    <row r="14" spans="1:8" x14ac:dyDescent="0.25">
      <c r="A14" s="75"/>
      <c r="B14" s="77"/>
      <c r="C14" s="73"/>
      <c r="D14" s="73"/>
      <c r="E14" s="73"/>
      <c r="F14" s="76"/>
      <c r="G14" s="76"/>
      <c r="H14" s="71"/>
    </row>
    <row r="15" spans="1:8" x14ac:dyDescent="0.25">
      <c r="A15" s="75"/>
      <c r="B15" s="73" t="s">
        <v>169</v>
      </c>
      <c r="C15" s="73"/>
      <c r="D15" s="73"/>
      <c r="E15" s="73"/>
      <c r="F15" s="73"/>
      <c r="G15" s="73"/>
      <c r="H15" s="71"/>
    </row>
    <row r="16" spans="1:8" x14ac:dyDescent="0.25">
      <c r="A16" s="75"/>
      <c r="B16" s="281" t="s">
        <v>403</v>
      </c>
      <c r="C16" s="281"/>
      <c r="D16" s="281"/>
      <c r="E16" s="281"/>
      <c r="F16" s="281"/>
      <c r="G16" s="281"/>
      <c r="H16" s="71"/>
    </row>
    <row r="17" spans="1:8" x14ac:dyDescent="0.25">
      <c r="A17" s="75"/>
      <c r="B17" s="73"/>
      <c r="C17" s="73"/>
      <c r="D17" s="73"/>
      <c r="E17" s="73"/>
      <c r="F17" s="73"/>
      <c r="G17" s="73"/>
      <c r="H17" s="71"/>
    </row>
    <row r="18" spans="1:8" x14ac:dyDescent="0.25">
      <c r="A18" s="75"/>
      <c r="B18" s="73" t="s">
        <v>168</v>
      </c>
      <c r="C18" s="74" t="s">
        <v>182</v>
      </c>
      <c r="D18" s="73"/>
      <c r="E18" s="73"/>
      <c r="F18" s="73" t="s">
        <v>167</v>
      </c>
      <c r="G18" s="72" t="s">
        <v>158</v>
      </c>
      <c r="H18" s="71"/>
    </row>
    <row r="19" spans="1:8" x14ac:dyDescent="0.25">
      <c r="A19" s="70"/>
      <c r="B19" s="69"/>
      <c r="C19" s="69"/>
      <c r="D19" s="69"/>
      <c r="E19" s="69"/>
      <c r="F19" s="69"/>
      <c r="G19" s="69"/>
      <c r="H19" s="68"/>
    </row>
  </sheetData>
  <sheetProtection algorithmName="SHA-512" hashValue="zWHYFu4eReyUZpKqzD4uQWCb1LcLm00a+bt8apaY14xtiTsCW58APRmjJqFt792qYTF6GEcTrPmLSzWEuL582A==" saltValue="U+oCyoQhsfqs9rdY41taTg==" spinCount="100000" sheet="1" objects="1" scenarios="1"/>
  <mergeCells count="13">
    <mergeCell ref="F13:G13"/>
    <mergeCell ref="B16:G16"/>
    <mergeCell ref="B5:C6"/>
    <mergeCell ref="B13:D13"/>
    <mergeCell ref="B11:D11"/>
    <mergeCell ref="B9:D9"/>
    <mergeCell ref="B8:D8"/>
    <mergeCell ref="G1:H2"/>
    <mergeCell ref="F8:G8"/>
    <mergeCell ref="F9:G9"/>
    <mergeCell ref="B12:D12"/>
    <mergeCell ref="F12:G12"/>
    <mergeCell ref="F11:G11"/>
  </mergeCells>
  <pageMargins left="0.23622047244094491" right="0.23622047244094491" top="0.74803149606299213" bottom="0.74803149606299213" header="0.31496062992125984" footer="0.31496062992125984"/>
  <pageSetup paperSize="9" scale="61" fitToWidth="2" pageOrder="overThenDown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D0BC7-DB8C-4FD9-A89A-4EBC5BD6382B}">
  <dimension ref="A1:V19"/>
  <sheetViews>
    <sheetView zoomScale="106" zoomScaleNormal="106" zoomScaleSheetLayoutView="96" workbookViewId="0">
      <selection activeCell="F14" sqref="F14"/>
    </sheetView>
  </sheetViews>
  <sheetFormatPr defaultColWidth="0" defaultRowHeight="15" zeroHeight="1" x14ac:dyDescent="0.25"/>
  <cols>
    <col min="1" max="1" width="4.28515625" customWidth="1"/>
    <col min="2" max="2" width="21.7109375" customWidth="1"/>
    <col min="3" max="3" width="11.7109375" customWidth="1"/>
    <col min="4" max="4" width="5.7109375" customWidth="1"/>
    <col min="5" max="5" width="3.28515625" customWidth="1"/>
    <col min="6" max="6" width="16.7109375" bestFit="1" customWidth="1"/>
    <col min="7" max="7" width="16.7109375" customWidth="1"/>
    <col min="8" max="8" width="4.28515625" customWidth="1"/>
    <col min="9" max="9" width="3.7109375" hidden="1" customWidth="1"/>
    <col min="10" max="20" width="9.140625" hidden="1" customWidth="1"/>
    <col min="21" max="22" width="0" hidden="1" customWidth="1"/>
    <col min="23" max="16384" width="9.140625" hidden="1"/>
  </cols>
  <sheetData>
    <row r="1" spans="1:8" ht="21.6" customHeight="1" x14ac:dyDescent="0.25">
      <c r="A1" s="82"/>
      <c r="B1" s="81" t="s">
        <v>133</v>
      </c>
      <c r="C1" s="80"/>
      <c r="D1" s="80"/>
      <c r="E1" s="80"/>
      <c r="F1" s="80"/>
      <c r="G1" s="275" t="s">
        <v>179</v>
      </c>
      <c r="H1" s="276"/>
    </row>
    <row r="2" spans="1:8" ht="14.45" customHeight="1" x14ac:dyDescent="0.25">
      <c r="A2" s="75"/>
      <c r="B2" s="73" t="s">
        <v>178</v>
      </c>
      <c r="C2" s="73"/>
      <c r="D2" s="73"/>
      <c r="E2" s="73"/>
      <c r="F2" s="73"/>
      <c r="G2" s="277"/>
      <c r="H2" s="278"/>
    </row>
    <row r="3" spans="1:8" ht="14.45" customHeight="1" x14ac:dyDescent="0.25">
      <c r="A3" s="75"/>
      <c r="B3" s="73" t="s">
        <v>177</v>
      </c>
      <c r="C3" s="73"/>
      <c r="D3" s="73"/>
      <c r="E3" s="73"/>
      <c r="F3" s="73"/>
      <c r="G3" s="73"/>
      <c r="H3" s="71"/>
    </row>
    <row r="4" spans="1:8" x14ac:dyDescent="0.25">
      <c r="A4" s="75"/>
      <c r="B4" s="73"/>
      <c r="C4" s="73"/>
      <c r="D4" s="73"/>
      <c r="E4" s="73"/>
      <c r="F4" s="73"/>
      <c r="G4" s="73"/>
      <c r="H4" s="71"/>
    </row>
    <row r="5" spans="1:8" ht="14.45" customHeight="1" x14ac:dyDescent="0.25">
      <c r="A5" s="79"/>
      <c r="B5" s="282" t="s">
        <v>176</v>
      </c>
      <c r="C5" s="283"/>
      <c r="D5" s="73"/>
      <c r="E5" s="73"/>
      <c r="F5" s="73"/>
      <c r="G5" s="73"/>
      <c r="H5" s="71"/>
    </row>
    <row r="6" spans="1:8" ht="14.45" customHeight="1" x14ac:dyDescent="0.25">
      <c r="A6" s="79"/>
      <c r="B6" s="284"/>
      <c r="C6" s="285"/>
      <c r="D6" s="73"/>
      <c r="E6" s="73"/>
      <c r="F6" s="73" t="s">
        <v>175</v>
      </c>
      <c r="G6" s="78">
        <v>45966</v>
      </c>
      <c r="H6" s="71"/>
    </row>
    <row r="7" spans="1:8" x14ac:dyDescent="0.25">
      <c r="A7" s="75"/>
      <c r="B7" s="73"/>
      <c r="C7" s="73"/>
      <c r="D7" s="73"/>
      <c r="E7" s="73"/>
      <c r="F7" s="73"/>
      <c r="G7" s="73"/>
      <c r="H7" s="71"/>
    </row>
    <row r="8" spans="1:8" x14ac:dyDescent="0.25">
      <c r="A8" s="75"/>
      <c r="B8" s="280" t="s">
        <v>174</v>
      </c>
      <c r="C8" s="280"/>
      <c r="D8" s="280"/>
      <c r="E8" s="73"/>
      <c r="F8" s="279" t="s">
        <v>126</v>
      </c>
      <c r="G8" s="279"/>
      <c r="H8" s="71"/>
    </row>
    <row r="9" spans="1:8" x14ac:dyDescent="0.25">
      <c r="A9" s="75"/>
      <c r="B9" s="280" t="s">
        <v>173</v>
      </c>
      <c r="C9" s="280"/>
      <c r="D9" s="280"/>
      <c r="E9" s="73"/>
      <c r="F9" s="279" t="s">
        <v>180</v>
      </c>
      <c r="G9" s="279"/>
      <c r="H9" s="71"/>
    </row>
    <row r="10" spans="1:8" x14ac:dyDescent="0.25">
      <c r="A10" s="75"/>
      <c r="B10" s="73"/>
      <c r="C10" s="73"/>
      <c r="D10" s="73"/>
      <c r="E10" s="73"/>
      <c r="F10" s="73"/>
      <c r="G10" s="73"/>
      <c r="H10" s="71"/>
    </row>
    <row r="11" spans="1:8" x14ac:dyDescent="0.25">
      <c r="A11" s="75"/>
      <c r="B11" s="280" t="s">
        <v>172</v>
      </c>
      <c r="C11" s="280"/>
      <c r="D11" s="280"/>
      <c r="E11" s="73"/>
      <c r="F11" s="279" t="s">
        <v>323</v>
      </c>
      <c r="G11" s="279"/>
      <c r="H11" s="71"/>
    </row>
    <row r="12" spans="1:8" x14ac:dyDescent="0.25">
      <c r="A12" s="75"/>
      <c r="B12" s="280" t="s">
        <v>171</v>
      </c>
      <c r="C12" s="280"/>
      <c r="D12" s="280"/>
      <c r="E12" s="73"/>
      <c r="F12" s="279" t="s">
        <v>322</v>
      </c>
      <c r="G12" s="279"/>
      <c r="H12" s="71"/>
    </row>
    <row r="13" spans="1:8" x14ac:dyDescent="0.25">
      <c r="A13" s="75"/>
      <c r="B13" s="280" t="s">
        <v>170</v>
      </c>
      <c r="C13" s="280"/>
      <c r="D13" s="280"/>
      <c r="E13" s="73"/>
      <c r="F13" s="279">
        <f>7932674-396634</f>
        <v>7536040</v>
      </c>
      <c r="G13" s="279"/>
      <c r="H13" s="71"/>
    </row>
    <row r="14" spans="1:8" x14ac:dyDescent="0.25">
      <c r="A14" s="75"/>
      <c r="B14" s="77"/>
      <c r="C14" s="73"/>
      <c r="D14" s="73"/>
      <c r="E14" s="73"/>
      <c r="F14" s="76"/>
      <c r="G14" s="76"/>
      <c r="H14" s="71"/>
    </row>
    <row r="15" spans="1:8" x14ac:dyDescent="0.25">
      <c r="A15" s="75"/>
      <c r="B15" s="73" t="s">
        <v>169</v>
      </c>
      <c r="C15" s="73"/>
      <c r="D15" s="73"/>
      <c r="E15" s="73"/>
      <c r="F15" s="73"/>
      <c r="G15" s="73"/>
      <c r="H15" s="71"/>
    </row>
    <row r="16" spans="1:8" x14ac:dyDescent="0.25">
      <c r="A16" s="75"/>
      <c r="B16" s="286" t="s">
        <v>404</v>
      </c>
      <c r="C16" s="281"/>
      <c r="D16" s="281"/>
      <c r="E16" s="281"/>
      <c r="F16" s="281"/>
      <c r="G16" s="281"/>
      <c r="H16" s="71"/>
    </row>
    <row r="17" spans="1:8" x14ac:dyDescent="0.25">
      <c r="A17" s="75"/>
      <c r="B17" s="73"/>
      <c r="C17" s="73"/>
      <c r="D17" s="73"/>
      <c r="E17" s="73"/>
      <c r="F17" s="73"/>
      <c r="G17" s="73"/>
      <c r="H17" s="71"/>
    </row>
    <row r="18" spans="1:8" x14ac:dyDescent="0.25">
      <c r="A18" s="75"/>
      <c r="B18" s="73" t="s">
        <v>168</v>
      </c>
      <c r="C18" s="74" t="s">
        <v>324</v>
      </c>
      <c r="D18" s="73"/>
      <c r="E18" s="73"/>
      <c r="F18" s="73" t="s">
        <v>167</v>
      </c>
      <c r="G18" s="72" t="s">
        <v>158</v>
      </c>
      <c r="H18" s="71"/>
    </row>
    <row r="19" spans="1:8" x14ac:dyDescent="0.25">
      <c r="A19" s="70"/>
      <c r="B19" s="69"/>
      <c r="C19" s="69"/>
      <c r="D19" s="69"/>
      <c r="E19" s="69"/>
      <c r="F19" s="69"/>
      <c r="G19" s="69"/>
      <c r="H19" s="68"/>
    </row>
  </sheetData>
  <sheetProtection algorithmName="SHA-512" hashValue="zWHYFu4eReyUZpKqzD4uQWCb1LcLm00a+bt8apaY14xtiTsCW58APRmjJqFt792qYTF6GEcTrPmLSzWEuL582A==" saltValue="U+oCyoQhsfqs9rdY41taTg==" spinCount="100000" sheet="1" objects="1" scenarios="1"/>
  <mergeCells count="13">
    <mergeCell ref="G1:H2"/>
    <mergeCell ref="F8:G8"/>
    <mergeCell ref="F9:G9"/>
    <mergeCell ref="B12:D12"/>
    <mergeCell ref="F12:G12"/>
    <mergeCell ref="F11:G11"/>
    <mergeCell ref="F13:G13"/>
    <mergeCell ref="B16:G16"/>
    <mergeCell ref="B5:C6"/>
    <mergeCell ref="B13:D13"/>
    <mergeCell ref="B11:D11"/>
    <mergeCell ref="B9:D9"/>
    <mergeCell ref="B8:D8"/>
  </mergeCells>
  <pageMargins left="0.23622047244094491" right="0.23622047244094491" top="0.74803149606299213" bottom="0.74803149606299213" header="0.31496062992125984" footer="0.31496062992125984"/>
  <pageSetup paperSize="9" scale="61" fitToWidth="2" pageOrder="overThenDown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7BC58-1A37-4F44-9A56-C097AA71AD02}">
  <dimension ref="A1:V423"/>
  <sheetViews>
    <sheetView zoomScale="106" zoomScaleNormal="106" zoomScaleSheetLayoutView="96" workbookViewId="0">
      <selection activeCell="F14" sqref="F14"/>
    </sheetView>
  </sheetViews>
  <sheetFormatPr defaultColWidth="0" defaultRowHeight="15" customHeight="1" zeroHeight="1" x14ac:dyDescent="0.25"/>
  <cols>
    <col min="1" max="1" width="4.28515625" customWidth="1"/>
    <col min="2" max="2" width="21.7109375" customWidth="1"/>
    <col min="3" max="3" width="11.7109375" customWidth="1"/>
    <col min="4" max="4" width="5.7109375" customWidth="1"/>
    <col min="5" max="5" width="3.28515625" customWidth="1"/>
    <col min="6" max="6" width="16.7109375" bestFit="1" customWidth="1"/>
    <col min="7" max="7" width="16.7109375" customWidth="1"/>
    <col min="8" max="8" width="4.28515625" customWidth="1"/>
    <col min="9" max="9" width="3.7109375" hidden="1" customWidth="1"/>
    <col min="10" max="20" width="9.140625" hidden="1" customWidth="1"/>
    <col min="21" max="22" width="0" hidden="1" customWidth="1"/>
    <col min="23" max="16384" width="9.140625" hidden="1"/>
  </cols>
  <sheetData>
    <row r="1" spans="1:8" ht="21.6" customHeight="1" x14ac:dyDescent="0.25">
      <c r="A1" s="82"/>
      <c r="B1" s="81" t="s">
        <v>133</v>
      </c>
      <c r="C1" s="80"/>
      <c r="D1" s="80"/>
      <c r="E1" s="80"/>
      <c r="F1" s="80"/>
      <c r="G1" s="275" t="s">
        <v>179</v>
      </c>
      <c r="H1" s="276"/>
    </row>
    <row r="2" spans="1:8" ht="14.45" customHeight="1" x14ac:dyDescent="0.25">
      <c r="A2" s="75"/>
      <c r="B2" s="73" t="s">
        <v>178</v>
      </c>
      <c r="C2" s="73"/>
      <c r="D2" s="73"/>
      <c r="E2" s="73"/>
      <c r="F2" s="73"/>
      <c r="G2" s="277"/>
      <c r="H2" s="278"/>
    </row>
    <row r="3" spans="1:8" ht="14.45" customHeight="1" x14ac:dyDescent="0.25">
      <c r="A3" s="75"/>
      <c r="B3" s="73" t="s">
        <v>177</v>
      </c>
      <c r="C3" s="73"/>
      <c r="D3" s="73"/>
      <c r="E3" s="73"/>
      <c r="F3" s="73"/>
      <c r="G3" s="73"/>
      <c r="H3" s="71"/>
    </row>
    <row r="4" spans="1:8" x14ac:dyDescent="0.25">
      <c r="A4" s="75"/>
      <c r="B4" s="73"/>
      <c r="C4" s="73"/>
      <c r="D4" s="73"/>
      <c r="E4" s="73"/>
      <c r="F4" s="73"/>
      <c r="G4" s="73"/>
      <c r="H4" s="71"/>
    </row>
    <row r="5" spans="1:8" ht="14.45" customHeight="1" x14ac:dyDescent="0.25">
      <c r="A5" s="79"/>
      <c r="B5" s="282" t="s">
        <v>176</v>
      </c>
      <c r="C5" s="283"/>
      <c r="D5" s="73"/>
      <c r="E5" s="73"/>
      <c r="F5" s="73"/>
      <c r="G5" s="73"/>
      <c r="H5" s="71"/>
    </row>
    <row r="6" spans="1:8" ht="14.45" customHeight="1" x14ac:dyDescent="0.25">
      <c r="A6" s="79"/>
      <c r="B6" s="284"/>
      <c r="C6" s="285"/>
      <c r="D6" s="73"/>
      <c r="E6" s="73"/>
      <c r="F6" s="73" t="s">
        <v>175</v>
      </c>
      <c r="G6" s="78">
        <v>45983</v>
      </c>
      <c r="H6" s="71"/>
    </row>
    <row r="7" spans="1:8" x14ac:dyDescent="0.25">
      <c r="A7" s="75"/>
      <c r="B7" s="73"/>
      <c r="C7" s="73"/>
      <c r="D7" s="73"/>
      <c r="E7" s="73"/>
      <c r="F7" s="73"/>
      <c r="G7" s="73"/>
      <c r="H7" s="71"/>
    </row>
    <row r="8" spans="1:8" x14ac:dyDescent="0.25">
      <c r="A8" s="75"/>
      <c r="B8" s="280" t="s">
        <v>174</v>
      </c>
      <c r="C8" s="280"/>
      <c r="D8" s="280"/>
      <c r="E8" s="73"/>
      <c r="F8" s="279" t="s">
        <v>126</v>
      </c>
      <c r="G8" s="279"/>
      <c r="H8" s="71"/>
    </row>
    <row r="9" spans="1:8" x14ac:dyDescent="0.25">
      <c r="A9" s="75"/>
      <c r="B9" s="280" t="s">
        <v>173</v>
      </c>
      <c r="C9" s="280"/>
      <c r="D9" s="280"/>
      <c r="E9" s="73"/>
      <c r="F9" s="279" t="s">
        <v>180</v>
      </c>
      <c r="G9" s="279"/>
      <c r="H9" s="71"/>
    </row>
    <row r="10" spans="1:8" x14ac:dyDescent="0.25">
      <c r="A10" s="75"/>
      <c r="B10" s="73"/>
      <c r="C10" s="73"/>
      <c r="D10" s="73"/>
      <c r="E10" s="73"/>
      <c r="F10" s="73"/>
      <c r="G10" s="73"/>
      <c r="H10" s="71"/>
    </row>
    <row r="11" spans="1:8" x14ac:dyDescent="0.25">
      <c r="A11" s="75"/>
      <c r="B11" s="280" t="s">
        <v>172</v>
      </c>
      <c r="C11" s="280"/>
      <c r="D11" s="280"/>
      <c r="E11" s="73"/>
      <c r="F11" s="279" t="s">
        <v>405</v>
      </c>
      <c r="G11" s="279"/>
      <c r="H11" s="71"/>
    </row>
    <row r="12" spans="1:8" x14ac:dyDescent="0.25">
      <c r="A12" s="75"/>
      <c r="B12" s="280" t="s">
        <v>171</v>
      </c>
      <c r="C12" s="280"/>
      <c r="D12" s="280"/>
      <c r="E12" s="73"/>
      <c r="F12" s="279" t="s">
        <v>409</v>
      </c>
      <c r="G12" s="279"/>
      <c r="H12" s="71"/>
    </row>
    <row r="13" spans="1:8" x14ac:dyDescent="0.25">
      <c r="A13" s="75"/>
      <c r="B13" s="280" t="s">
        <v>170</v>
      </c>
      <c r="C13" s="280"/>
      <c r="D13" s="280"/>
      <c r="E13" s="73"/>
      <c r="F13" s="279">
        <v>1778000</v>
      </c>
      <c r="G13" s="279"/>
      <c r="H13" s="71"/>
    </row>
    <row r="14" spans="1:8" x14ac:dyDescent="0.25">
      <c r="A14" s="75"/>
      <c r="B14" s="77"/>
      <c r="C14" s="73"/>
      <c r="D14" s="73"/>
      <c r="E14" s="73"/>
      <c r="F14" s="76"/>
      <c r="G14" s="76"/>
      <c r="H14" s="71"/>
    </row>
    <row r="15" spans="1:8" x14ac:dyDescent="0.25">
      <c r="A15" s="75"/>
      <c r="B15" s="73" t="s">
        <v>169</v>
      </c>
      <c r="C15" s="73"/>
      <c r="D15" s="73"/>
      <c r="E15" s="73"/>
      <c r="F15" s="73"/>
      <c r="G15" s="73"/>
      <c r="H15" s="71"/>
    </row>
    <row r="16" spans="1:8" x14ac:dyDescent="0.25">
      <c r="A16" s="75"/>
      <c r="B16" s="286" t="s">
        <v>407</v>
      </c>
      <c r="C16" s="281"/>
      <c r="D16" s="281"/>
      <c r="E16" s="281"/>
      <c r="F16" s="281"/>
      <c r="G16" s="281"/>
      <c r="H16" s="71"/>
    </row>
    <row r="17" spans="1:8" x14ac:dyDescent="0.25">
      <c r="A17" s="75"/>
      <c r="B17" s="73"/>
      <c r="C17" s="73"/>
      <c r="D17" s="73"/>
      <c r="E17" s="73"/>
      <c r="F17" s="73"/>
      <c r="G17" s="73"/>
      <c r="H17" s="71"/>
    </row>
    <row r="18" spans="1:8" x14ac:dyDescent="0.25">
      <c r="A18" s="75"/>
      <c r="B18" s="73" t="s">
        <v>168</v>
      </c>
      <c r="C18" s="74" t="s">
        <v>408</v>
      </c>
      <c r="D18" s="73"/>
      <c r="E18" s="73"/>
      <c r="F18" s="73" t="s">
        <v>167</v>
      </c>
      <c r="G18" s="72" t="s">
        <v>158</v>
      </c>
      <c r="H18" s="71"/>
    </row>
    <row r="19" spans="1:8" x14ac:dyDescent="0.25">
      <c r="A19" s="70"/>
      <c r="B19" s="69"/>
      <c r="C19" s="69"/>
      <c r="D19" s="69"/>
      <c r="E19" s="69"/>
      <c r="F19" s="69"/>
      <c r="G19" s="69"/>
      <c r="H19" s="68"/>
    </row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  <row r="230" hidden="1" x14ac:dyDescent="0.25"/>
    <row r="231" hidden="1" x14ac:dyDescent="0.25"/>
    <row r="232" hidden="1" x14ac:dyDescent="0.25"/>
    <row r="233" hidden="1" x14ac:dyDescent="0.25"/>
    <row r="234" hidden="1" x14ac:dyDescent="0.25"/>
    <row r="235" hidden="1" x14ac:dyDescent="0.25"/>
    <row r="236" hidden="1" x14ac:dyDescent="0.25"/>
    <row r="237" hidden="1" x14ac:dyDescent="0.25"/>
    <row r="238" hidden="1" x14ac:dyDescent="0.25"/>
    <row r="239" hidden="1" x14ac:dyDescent="0.25"/>
    <row r="240" hidden="1" x14ac:dyDescent="0.25"/>
    <row r="241" hidden="1" x14ac:dyDescent="0.25"/>
    <row r="242" hidden="1" x14ac:dyDescent="0.25"/>
    <row r="243" hidden="1" x14ac:dyDescent="0.25"/>
    <row r="244" hidden="1" x14ac:dyDescent="0.25"/>
    <row r="245" hidden="1" x14ac:dyDescent="0.25"/>
    <row r="246" hidden="1" x14ac:dyDescent="0.25"/>
    <row r="247" hidden="1" x14ac:dyDescent="0.25"/>
    <row r="248" hidden="1" x14ac:dyDescent="0.25"/>
    <row r="249" hidden="1" x14ac:dyDescent="0.25"/>
    <row r="250" hidden="1" x14ac:dyDescent="0.25"/>
    <row r="251" hidden="1" x14ac:dyDescent="0.25"/>
    <row r="252" hidden="1" x14ac:dyDescent="0.25"/>
    <row r="253" hidden="1" x14ac:dyDescent="0.25"/>
    <row r="254" hidden="1" x14ac:dyDescent="0.25"/>
    <row r="255" hidden="1" x14ac:dyDescent="0.25"/>
    <row r="256" hidden="1" x14ac:dyDescent="0.25"/>
    <row r="257" hidden="1" x14ac:dyDescent="0.25"/>
    <row r="258" hidden="1" x14ac:dyDescent="0.25"/>
    <row r="259" hidden="1" x14ac:dyDescent="0.25"/>
    <row r="260" hidden="1" x14ac:dyDescent="0.25"/>
    <row r="261" hidden="1" x14ac:dyDescent="0.25"/>
    <row r="262" hidden="1" x14ac:dyDescent="0.25"/>
    <row r="263" hidden="1" x14ac:dyDescent="0.25"/>
    <row r="264" hidden="1" x14ac:dyDescent="0.25"/>
    <row r="265" hidden="1" x14ac:dyDescent="0.25"/>
    <row r="266" hidden="1" x14ac:dyDescent="0.25"/>
    <row r="267" hidden="1" x14ac:dyDescent="0.25"/>
    <row r="268" hidden="1" x14ac:dyDescent="0.25"/>
    <row r="269" hidden="1" x14ac:dyDescent="0.25"/>
    <row r="270" hidden="1" x14ac:dyDescent="0.25"/>
    <row r="271" hidden="1" x14ac:dyDescent="0.25"/>
    <row r="272" hidden="1" x14ac:dyDescent="0.25"/>
    <row r="273" hidden="1" x14ac:dyDescent="0.25"/>
    <row r="274" hidden="1" x14ac:dyDescent="0.25"/>
    <row r="275" hidden="1" x14ac:dyDescent="0.25"/>
    <row r="276" hidden="1" x14ac:dyDescent="0.25"/>
    <row r="277" hidden="1" x14ac:dyDescent="0.25"/>
    <row r="278" hidden="1" x14ac:dyDescent="0.25"/>
    <row r="279" hidden="1" x14ac:dyDescent="0.25"/>
    <row r="280" hidden="1" x14ac:dyDescent="0.25"/>
    <row r="281" hidden="1" x14ac:dyDescent="0.25"/>
    <row r="282" hidden="1" x14ac:dyDescent="0.25"/>
    <row r="283" hidden="1" x14ac:dyDescent="0.25"/>
    <row r="284" hidden="1" x14ac:dyDescent="0.25"/>
    <row r="285" hidden="1" x14ac:dyDescent="0.25"/>
    <row r="286" hidden="1" x14ac:dyDescent="0.25"/>
    <row r="287" hidden="1" x14ac:dyDescent="0.25"/>
    <row r="288" hidden="1" x14ac:dyDescent="0.25"/>
    <row r="289" hidden="1" x14ac:dyDescent="0.25"/>
    <row r="290" hidden="1" x14ac:dyDescent="0.25"/>
    <row r="291" hidden="1" x14ac:dyDescent="0.25"/>
    <row r="292" hidden="1" x14ac:dyDescent="0.25"/>
    <row r="293" hidden="1" x14ac:dyDescent="0.25"/>
    <row r="294" hidden="1" x14ac:dyDescent="0.25"/>
    <row r="295" hidden="1" x14ac:dyDescent="0.25"/>
    <row r="296" hidden="1" x14ac:dyDescent="0.25"/>
    <row r="297" hidden="1" x14ac:dyDescent="0.25"/>
    <row r="298" hidden="1" x14ac:dyDescent="0.25"/>
    <row r="299" hidden="1" x14ac:dyDescent="0.25"/>
    <row r="300" hidden="1" x14ac:dyDescent="0.25"/>
    <row r="301" hidden="1" x14ac:dyDescent="0.25"/>
    <row r="302" hidden="1" x14ac:dyDescent="0.25"/>
    <row r="303" hidden="1" x14ac:dyDescent="0.25"/>
    <row r="304" hidden="1" x14ac:dyDescent="0.25"/>
    <row r="305" hidden="1" x14ac:dyDescent="0.25"/>
    <row r="306" hidden="1" x14ac:dyDescent="0.25"/>
    <row r="307" hidden="1" x14ac:dyDescent="0.25"/>
    <row r="308" hidden="1" x14ac:dyDescent="0.25"/>
    <row r="309" hidden="1" x14ac:dyDescent="0.25"/>
    <row r="310" hidden="1" x14ac:dyDescent="0.25"/>
    <row r="311" hidden="1" x14ac:dyDescent="0.25"/>
    <row r="312" hidden="1" x14ac:dyDescent="0.25"/>
    <row r="313" hidden="1" x14ac:dyDescent="0.25"/>
    <row r="314" hidden="1" x14ac:dyDescent="0.25"/>
    <row r="315" hidden="1" x14ac:dyDescent="0.25"/>
    <row r="316" hidden="1" x14ac:dyDescent="0.25"/>
    <row r="317" hidden="1" x14ac:dyDescent="0.25"/>
    <row r="318" hidden="1" x14ac:dyDescent="0.25"/>
    <row r="319" hidden="1" x14ac:dyDescent="0.25"/>
    <row r="320" hidden="1" x14ac:dyDescent="0.25"/>
    <row r="321" hidden="1" x14ac:dyDescent="0.25"/>
    <row r="322" hidden="1" x14ac:dyDescent="0.25"/>
    <row r="323" hidden="1" x14ac:dyDescent="0.25"/>
    <row r="324" hidden="1" x14ac:dyDescent="0.25"/>
    <row r="325" hidden="1" x14ac:dyDescent="0.25"/>
    <row r="326" hidden="1" x14ac:dyDescent="0.25"/>
    <row r="327" hidden="1" x14ac:dyDescent="0.25"/>
    <row r="328" hidden="1" x14ac:dyDescent="0.25"/>
    <row r="329" hidden="1" x14ac:dyDescent="0.25"/>
    <row r="330" hidden="1" x14ac:dyDescent="0.25"/>
    <row r="331" hidden="1" x14ac:dyDescent="0.25"/>
    <row r="332" hidden="1" x14ac:dyDescent="0.25"/>
    <row r="333" hidden="1" x14ac:dyDescent="0.25"/>
    <row r="334" hidden="1" x14ac:dyDescent="0.25"/>
    <row r="335" hidden="1" x14ac:dyDescent="0.25"/>
    <row r="336" hidden="1" x14ac:dyDescent="0.25"/>
    <row r="337" hidden="1" x14ac:dyDescent="0.25"/>
    <row r="338" hidden="1" x14ac:dyDescent="0.25"/>
    <row r="339" hidden="1" x14ac:dyDescent="0.25"/>
    <row r="340" hidden="1" x14ac:dyDescent="0.25"/>
    <row r="341" hidden="1" x14ac:dyDescent="0.25"/>
    <row r="342" hidden="1" x14ac:dyDescent="0.25"/>
    <row r="343" hidden="1" x14ac:dyDescent="0.25"/>
    <row r="344" hidden="1" x14ac:dyDescent="0.25"/>
    <row r="345" hidden="1" x14ac:dyDescent="0.25"/>
    <row r="346" hidden="1" x14ac:dyDescent="0.25"/>
    <row r="347" hidden="1" x14ac:dyDescent="0.25"/>
    <row r="348" hidden="1" x14ac:dyDescent="0.25"/>
    <row r="349" hidden="1" x14ac:dyDescent="0.25"/>
    <row r="350" hidden="1" x14ac:dyDescent="0.25"/>
    <row r="351" hidden="1" x14ac:dyDescent="0.25"/>
    <row r="352" hidden="1" x14ac:dyDescent="0.25"/>
    <row r="353" hidden="1" x14ac:dyDescent="0.25"/>
    <row r="354" hidden="1" x14ac:dyDescent="0.25"/>
    <row r="355" hidden="1" x14ac:dyDescent="0.25"/>
    <row r="356" hidden="1" x14ac:dyDescent="0.25"/>
    <row r="357" hidden="1" x14ac:dyDescent="0.25"/>
    <row r="358" hidden="1" x14ac:dyDescent="0.25"/>
    <row r="359" hidden="1" x14ac:dyDescent="0.25"/>
    <row r="360" hidden="1" x14ac:dyDescent="0.25"/>
    <row r="361" hidden="1" x14ac:dyDescent="0.25"/>
    <row r="362" hidden="1" x14ac:dyDescent="0.25"/>
    <row r="363" hidden="1" x14ac:dyDescent="0.25"/>
    <row r="364" hidden="1" x14ac:dyDescent="0.25"/>
    <row r="365" hidden="1" x14ac:dyDescent="0.25"/>
    <row r="366" hidden="1" x14ac:dyDescent="0.25"/>
    <row r="367" hidden="1" x14ac:dyDescent="0.25"/>
    <row r="368" hidden="1" x14ac:dyDescent="0.25"/>
    <row r="369" hidden="1" x14ac:dyDescent="0.25"/>
    <row r="370" hidden="1" x14ac:dyDescent="0.25"/>
    <row r="371" hidden="1" x14ac:dyDescent="0.25"/>
    <row r="372" hidden="1" x14ac:dyDescent="0.25"/>
    <row r="373" hidden="1" x14ac:dyDescent="0.25"/>
    <row r="374" hidden="1" x14ac:dyDescent="0.25"/>
    <row r="375" hidden="1" x14ac:dyDescent="0.25"/>
    <row r="376" hidden="1" x14ac:dyDescent="0.25"/>
    <row r="377" hidden="1" x14ac:dyDescent="0.25"/>
    <row r="378" hidden="1" x14ac:dyDescent="0.25"/>
    <row r="379" hidden="1" x14ac:dyDescent="0.25"/>
    <row r="380" hidden="1" x14ac:dyDescent="0.25"/>
    <row r="381" hidden="1" x14ac:dyDescent="0.25"/>
    <row r="382" hidden="1" x14ac:dyDescent="0.25"/>
    <row r="383" hidden="1" x14ac:dyDescent="0.25"/>
    <row r="384" hidden="1" x14ac:dyDescent="0.25"/>
    <row r="385" hidden="1" x14ac:dyDescent="0.25"/>
    <row r="386" hidden="1" x14ac:dyDescent="0.25"/>
    <row r="387" hidden="1" x14ac:dyDescent="0.25"/>
    <row r="388" hidden="1" x14ac:dyDescent="0.25"/>
    <row r="389" hidden="1" x14ac:dyDescent="0.25"/>
    <row r="390" hidden="1" x14ac:dyDescent="0.25"/>
    <row r="391" hidden="1" x14ac:dyDescent="0.25"/>
    <row r="392" hidden="1" x14ac:dyDescent="0.25"/>
    <row r="393" hidden="1" x14ac:dyDescent="0.25"/>
    <row r="394" hidden="1" x14ac:dyDescent="0.25"/>
    <row r="395" hidden="1" x14ac:dyDescent="0.25"/>
    <row r="396" hidden="1" x14ac:dyDescent="0.25"/>
    <row r="397" hidden="1" x14ac:dyDescent="0.25"/>
    <row r="398" hidden="1" x14ac:dyDescent="0.25"/>
    <row r="399" hidden="1" x14ac:dyDescent="0.25"/>
    <row r="400" hidden="1" x14ac:dyDescent="0.25"/>
    <row r="401" hidden="1" x14ac:dyDescent="0.25"/>
    <row r="402" hidden="1" x14ac:dyDescent="0.25"/>
    <row r="403" hidden="1" x14ac:dyDescent="0.25"/>
    <row r="404" hidden="1" x14ac:dyDescent="0.25"/>
    <row r="405" hidden="1" x14ac:dyDescent="0.25"/>
    <row r="406" hidden="1" x14ac:dyDescent="0.25"/>
    <row r="407" hidden="1" x14ac:dyDescent="0.25"/>
    <row r="408" hidden="1" x14ac:dyDescent="0.25"/>
    <row r="409" hidden="1" x14ac:dyDescent="0.25"/>
    <row r="410" hidden="1" x14ac:dyDescent="0.25"/>
    <row r="411" hidden="1" x14ac:dyDescent="0.25"/>
    <row r="412" hidden="1" x14ac:dyDescent="0.25"/>
    <row r="413" hidden="1" x14ac:dyDescent="0.25"/>
    <row r="414" hidden="1" x14ac:dyDescent="0.25"/>
    <row r="415" hidden="1" x14ac:dyDescent="0.25"/>
    <row r="416" hidden="1" x14ac:dyDescent="0.25"/>
    <row r="417" hidden="1" x14ac:dyDescent="0.25"/>
    <row r="418" hidden="1" x14ac:dyDescent="0.25"/>
    <row r="419" hidden="1" x14ac:dyDescent="0.25"/>
    <row r="420" hidden="1" x14ac:dyDescent="0.25"/>
    <row r="421" hidden="1" x14ac:dyDescent="0.25"/>
    <row r="422" hidden="1" x14ac:dyDescent="0.25"/>
    <row r="423" hidden="1" x14ac:dyDescent="0.25"/>
  </sheetData>
  <sheetProtection algorithmName="SHA-512" hashValue="zWHYFu4eReyUZpKqzD4uQWCb1LcLm00a+bt8apaY14xtiTsCW58APRmjJqFt792qYTF6GEcTrPmLSzWEuL582A==" saltValue="U+oCyoQhsfqs9rdY41taTg==" spinCount="100000" sheet="1" objects="1" scenarios="1"/>
  <mergeCells count="13">
    <mergeCell ref="G1:H2"/>
    <mergeCell ref="B5:C6"/>
    <mergeCell ref="B8:D8"/>
    <mergeCell ref="F8:G8"/>
    <mergeCell ref="B9:D9"/>
    <mergeCell ref="F9:G9"/>
    <mergeCell ref="B16:G16"/>
    <mergeCell ref="B11:D11"/>
    <mergeCell ref="F11:G11"/>
    <mergeCell ref="B12:D12"/>
    <mergeCell ref="F12:G12"/>
    <mergeCell ref="B13:D13"/>
    <mergeCell ref="F13:G13"/>
  </mergeCells>
  <pageMargins left="0.23622047244094491" right="0.23622047244094491" top="0.74803149606299213" bottom="0.74803149606299213" header="0.31496062992125984" footer="0.31496062992125984"/>
  <pageSetup paperSize="9" scale="61" fitToWidth="2" pageOrder="overThenDown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4B017-55CB-4EF0-BA02-C419F69C77BF}">
  <dimension ref="A1:H19"/>
  <sheetViews>
    <sheetView workbookViewId="0">
      <selection activeCell="C36" sqref="C36"/>
    </sheetView>
  </sheetViews>
  <sheetFormatPr defaultRowHeight="15" x14ac:dyDescent="0.25"/>
  <cols>
    <col min="1" max="1" width="39.85546875" customWidth="1"/>
    <col min="2" max="2" width="11.140625" customWidth="1"/>
    <col min="3" max="3" width="8.85546875" customWidth="1"/>
    <col min="4" max="5" width="17.7109375" customWidth="1"/>
    <col min="6" max="6" width="7.7109375" customWidth="1"/>
    <col min="7" max="7" width="10" customWidth="1"/>
    <col min="8" max="8" width="17.7109375" customWidth="1"/>
  </cols>
  <sheetData>
    <row r="1" spans="1:8" x14ac:dyDescent="0.25">
      <c r="A1" s="287" t="s">
        <v>208</v>
      </c>
      <c r="B1" s="287"/>
      <c r="C1" s="287"/>
      <c r="D1" s="287"/>
      <c r="E1" s="287"/>
      <c r="F1" s="287"/>
      <c r="G1" s="287"/>
      <c r="H1" s="287"/>
    </row>
    <row r="2" spans="1:8" ht="23.25" x14ac:dyDescent="0.25">
      <c r="A2" s="97" t="s">
        <v>207</v>
      </c>
      <c r="B2" s="288" t="s">
        <v>206</v>
      </c>
      <c r="C2" s="289"/>
      <c r="D2" s="289"/>
      <c r="E2" s="289"/>
      <c r="F2" s="289"/>
      <c r="G2" s="289"/>
      <c r="H2" s="290"/>
    </row>
    <row r="3" spans="1:8" ht="21.6" customHeight="1" x14ac:dyDescent="0.25">
      <c r="A3" s="96" t="s">
        <v>126</v>
      </c>
      <c r="B3" s="291" t="s">
        <v>210</v>
      </c>
      <c r="C3" s="292"/>
      <c r="D3" s="292"/>
      <c r="E3" s="292"/>
      <c r="F3" s="292"/>
      <c r="G3" s="292"/>
      <c r="H3" s="293"/>
    </row>
    <row r="4" spans="1:8" ht="21.6" customHeight="1" x14ac:dyDescent="0.25">
      <c r="A4" s="100" t="s">
        <v>140</v>
      </c>
      <c r="B4" s="294" t="s">
        <v>211</v>
      </c>
      <c r="C4" s="295"/>
      <c r="D4" s="295"/>
      <c r="E4" s="295"/>
      <c r="F4" s="295"/>
      <c r="G4" s="295"/>
      <c r="H4" s="296"/>
    </row>
    <row r="5" spans="1:8" x14ac:dyDescent="0.25">
      <c r="A5" s="94" t="s">
        <v>209</v>
      </c>
      <c r="B5" s="297" t="s">
        <v>205</v>
      </c>
      <c r="C5" s="298"/>
      <c r="D5" s="95" t="s">
        <v>204</v>
      </c>
      <c r="E5" s="95" t="s">
        <v>203</v>
      </c>
      <c r="F5" s="297" t="s">
        <v>202</v>
      </c>
      <c r="G5" s="298"/>
      <c r="H5" s="95" t="s">
        <v>201</v>
      </c>
    </row>
    <row r="6" spans="1:8" x14ac:dyDescent="0.25">
      <c r="A6" s="101" t="s">
        <v>180</v>
      </c>
      <c r="B6" s="302" t="s">
        <v>212</v>
      </c>
      <c r="C6" s="302"/>
      <c r="D6" s="99">
        <v>45951</v>
      </c>
      <c r="E6" s="99">
        <v>45951</v>
      </c>
      <c r="F6" s="303">
        <v>45967</v>
      </c>
      <c r="G6" s="302"/>
      <c r="H6" s="101" t="s">
        <v>155</v>
      </c>
    </row>
    <row r="7" spans="1:8" x14ac:dyDescent="0.25">
      <c r="A7" s="93"/>
      <c r="B7" s="93"/>
      <c r="C7" s="93"/>
      <c r="D7" s="93"/>
      <c r="E7" s="93"/>
      <c r="F7" s="93"/>
      <c r="G7" s="93"/>
      <c r="H7" s="93"/>
    </row>
    <row r="8" spans="1:8" x14ac:dyDescent="0.25">
      <c r="A8" s="92" t="s">
        <v>200</v>
      </c>
      <c r="B8" s="91" t="s">
        <v>199</v>
      </c>
      <c r="C8" s="91" t="s">
        <v>198</v>
      </c>
      <c r="D8" s="91" t="s">
        <v>197</v>
      </c>
      <c r="E8" s="91" t="s">
        <v>196</v>
      </c>
      <c r="F8" s="91" t="s">
        <v>195</v>
      </c>
      <c r="G8" s="91" t="s">
        <v>194</v>
      </c>
      <c r="H8" s="91" t="s">
        <v>193</v>
      </c>
    </row>
    <row r="9" spans="1:8" x14ac:dyDescent="0.25">
      <c r="A9" t="s">
        <v>214</v>
      </c>
      <c r="B9" s="86" t="s">
        <v>213</v>
      </c>
      <c r="C9" s="86">
        <v>1</v>
      </c>
      <c r="D9" s="98">
        <v>3600000</v>
      </c>
      <c r="E9" s="85">
        <f>C9*D9</f>
        <v>3600000</v>
      </c>
      <c r="F9" s="87">
        <v>0.27</v>
      </c>
      <c r="G9" s="85">
        <f>E9*F9</f>
        <v>972000.00000000012</v>
      </c>
      <c r="H9" s="85">
        <f>E9+G9</f>
        <v>4572000</v>
      </c>
    </row>
    <row r="10" spans="1:8" x14ac:dyDescent="0.25">
      <c r="A10" s="88"/>
      <c r="B10" s="86"/>
      <c r="C10" s="86"/>
      <c r="D10" s="98"/>
      <c r="E10" s="85"/>
      <c r="F10" s="87"/>
      <c r="G10" s="85"/>
      <c r="H10" s="85"/>
    </row>
    <row r="11" spans="1:8" x14ac:dyDescent="0.25">
      <c r="A11" s="88"/>
      <c r="B11" s="86"/>
      <c r="C11" s="86"/>
      <c r="D11" s="85"/>
      <c r="E11" s="85"/>
      <c r="F11" s="86"/>
      <c r="G11" s="85"/>
      <c r="H11" s="85"/>
    </row>
    <row r="12" spans="1:8" x14ac:dyDescent="0.25">
      <c r="A12" s="88"/>
      <c r="B12" s="86"/>
      <c r="C12" s="86"/>
      <c r="D12" s="85"/>
      <c r="E12" s="85"/>
      <c r="F12" s="87"/>
      <c r="G12" s="85"/>
      <c r="H12" s="85"/>
    </row>
    <row r="13" spans="1:8" x14ac:dyDescent="0.25">
      <c r="A13" s="88"/>
      <c r="B13" s="86"/>
      <c r="C13" s="86"/>
      <c r="D13" s="85"/>
      <c r="E13" s="85"/>
      <c r="F13" s="86"/>
      <c r="G13" s="85"/>
      <c r="H13" s="85"/>
    </row>
    <row r="14" spans="1:8" x14ac:dyDescent="0.25">
      <c r="A14" s="304" t="s">
        <v>192</v>
      </c>
      <c r="B14" s="305"/>
      <c r="C14" s="305"/>
      <c r="D14" s="306"/>
      <c r="E14" s="84">
        <f>SUM(E9:E13)</f>
        <v>3600000</v>
      </c>
      <c r="F14" s="90"/>
      <c r="G14" s="84">
        <f>SUM(G9:G13)</f>
        <v>972000.00000000012</v>
      </c>
      <c r="H14" s="84">
        <f>SUM(H9:H13)</f>
        <v>4572000</v>
      </c>
    </row>
    <row r="15" spans="1:8" x14ac:dyDescent="0.25">
      <c r="A15" s="89"/>
      <c r="B15" s="89"/>
      <c r="C15" s="89"/>
      <c r="D15" s="89"/>
      <c r="E15" s="89"/>
      <c r="F15" s="89"/>
      <c r="G15" s="89"/>
      <c r="H15" s="89"/>
    </row>
    <row r="16" spans="1:8" x14ac:dyDescent="0.25">
      <c r="A16" s="307" t="s">
        <v>191</v>
      </c>
      <c r="B16" s="307"/>
      <c r="C16" s="307"/>
      <c r="D16" s="87">
        <v>0.27</v>
      </c>
      <c r="E16" s="87">
        <v>0.05</v>
      </c>
      <c r="F16" s="308" t="s">
        <v>190</v>
      </c>
      <c r="G16" s="308"/>
      <c r="H16" s="86" t="s">
        <v>12</v>
      </c>
    </row>
    <row r="17" spans="1:8" x14ac:dyDescent="0.25">
      <c r="A17" s="299" t="s">
        <v>189</v>
      </c>
      <c r="B17" s="299"/>
      <c r="C17" s="299"/>
      <c r="D17" s="85">
        <f>SUM(E9:E13)</f>
        <v>3600000</v>
      </c>
      <c r="E17" s="85">
        <v>0</v>
      </c>
      <c r="F17" s="300">
        <v>0</v>
      </c>
      <c r="G17" s="300"/>
      <c r="H17" s="85">
        <f>SUM(D17:G17)</f>
        <v>3600000</v>
      </c>
    </row>
    <row r="18" spans="1:8" x14ac:dyDescent="0.25">
      <c r="A18" s="299" t="s">
        <v>188</v>
      </c>
      <c r="B18" s="299"/>
      <c r="C18" s="299"/>
      <c r="D18" s="85">
        <f>SUM(G9:G10)</f>
        <v>972000.00000000012</v>
      </c>
      <c r="E18" s="85">
        <v>0</v>
      </c>
      <c r="F18" s="300">
        <v>0</v>
      </c>
      <c r="G18" s="300"/>
      <c r="H18" s="85">
        <f>SUM(D18:G18)</f>
        <v>972000.00000000012</v>
      </c>
    </row>
    <row r="19" spans="1:8" x14ac:dyDescent="0.25">
      <c r="A19" s="301" t="s">
        <v>187</v>
      </c>
      <c r="B19" s="301"/>
      <c r="C19" s="301"/>
      <c r="D19" s="84">
        <f>SUM(D17:D18)</f>
        <v>4572000</v>
      </c>
      <c r="E19" s="84">
        <f>SUM(E17:E18)</f>
        <v>0</v>
      </c>
      <c r="F19" s="301">
        <f>SUM(F17:G18)</f>
        <v>0</v>
      </c>
      <c r="G19" s="301"/>
      <c r="H19" s="83">
        <f>SUM(H17:H18)</f>
        <v>4572000</v>
      </c>
    </row>
  </sheetData>
  <mergeCells count="17">
    <mergeCell ref="A18:C18"/>
    <mergeCell ref="F18:G18"/>
    <mergeCell ref="A19:C19"/>
    <mergeCell ref="F19:G19"/>
    <mergeCell ref="B6:C6"/>
    <mergeCell ref="F6:G6"/>
    <mergeCell ref="A14:D14"/>
    <mergeCell ref="A16:C16"/>
    <mergeCell ref="F16:G16"/>
    <mergeCell ref="A17:C17"/>
    <mergeCell ref="F17:G17"/>
    <mergeCell ref="A1:H1"/>
    <mergeCell ref="B2:H2"/>
    <mergeCell ref="B3:H3"/>
    <mergeCell ref="B4:H4"/>
    <mergeCell ref="B5:C5"/>
    <mergeCell ref="F5:G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A56C2-5A59-41B2-BB6E-8F4EC5C2DE67}">
  <dimension ref="A1:H19"/>
  <sheetViews>
    <sheetView workbookViewId="0">
      <selection activeCell="J35" sqref="J35"/>
    </sheetView>
  </sheetViews>
  <sheetFormatPr defaultRowHeight="15" x14ac:dyDescent="0.25"/>
  <cols>
    <col min="1" max="1" width="39.85546875" customWidth="1"/>
    <col min="2" max="2" width="11.140625" customWidth="1"/>
    <col min="3" max="3" width="8.85546875" customWidth="1"/>
    <col min="4" max="5" width="17.7109375" customWidth="1"/>
    <col min="6" max="6" width="7.7109375" customWidth="1"/>
    <col min="7" max="7" width="10" customWidth="1"/>
    <col min="8" max="8" width="17.7109375" customWidth="1"/>
  </cols>
  <sheetData>
    <row r="1" spans="1:8" x14ac:dyDescent="0.25">
      <c r="A1" s="287" t="s">
        <v>208</v>
      </c>
      <c r="B1" s="287"/>
      <c r="C1" s="287"/>
      <c r="D1" s="287"/>
      <c r="E1" s="287"/>
      <c r="F1" s="287"/>
      <c r="G1" s="287"/>
      <c r="H1" s="287"/>
    </row>
    <row r="2" spans="1:8" ht="23.25" x14ac:dyDescent="0.25">
      <c r="A2" s="97" t="s">
        <v>207</v>
      </c>
      <c r="B2" s="288" t="s">
        <v>206</v>
      </c>
      <c r="C2" s="289"/>
      <c r="D2" s="289"/>
      <c r="E2" s="289"/>
      <c r="F2" s="289"/>
      <c r="G2" s="289"/>
      <c r="H2" s="290"/>
    </row>
    <row r="3" spans="1:8" ht="21.6" customHeight="1" x14ac:dyDescent="0.25">
      <c r="A3" s="96" t="s">
        <v>126</v>
      </c>
      <c r="B3" s="291" t="s">
        <v>210</v>
      </c>
      <c r="C3" s="292"/>
      <c r="D3" s="292"/>
      <c r="E3" s="292"/>
      <c r="F3" s="292"/>
      <c r="G3" s="292"/>
      <c r="H3" s="293"/>
    </row>
    <row r="4" spans="1:8" ht="21.6" customHeight="1" x14ac:dyDescent="0.25">
      <c r="A4" s="100" t="s">
        <v>140</v>
      </c>
      <c r="B4" s="294" t="s">
        <v>211</v>
      </c>
      <c r="C4" s="295"/>
      <c r="D4" s="295"/>
      <c r="E4" s="295"/>
      <c r="F4" s="295"/>
      <c r="G4" s="295"/>
      <c r="H4" s="296"/>
    </row>
    <row r="5" spans="1:8" x14ac:dyDescent="0.25">
      <c r="A5" s="94" t="s">
        <v>209</v>
      </c>
      <c r="B5" s="297" t="s">
        <v>205</v>
      </c>
      <c r="C5" s="298"/>
      <c r="D5" s="95" t="s">
        <v>204</v>
      </c>
      <c r="E5" s="95" t="s">
        <v>203</v>
      </c>
      <c r="F5" s="297" t="s">
        <v>202</v>
      </c>
      <c r="G5" s="298"/>
      <c r="H5" s="95" t="s">
        <v>201</v>
      </c>
    </row>
    <row r="6" spans="1:8" x14ac:dyDescent="0.25">
      <c r="A6" s="101" t="s">
        <v>180</v>
      </c>
      <c r="B6" s="302" t="s">
        <v>212</v>
      </c>
      <c r="C6" s="302"/>
      <c r="D6" s="99">
        <v>45952</v>
      </c>
      <c r="E6" s="99">
        <v>45952</v>
      </c>
      <c r="F6" s="303">
        <v>45967</v>
      </c>
      <c r="G6" s="302"/>
      <c r="H6" s="101" t="s">
        <v>277</v>
      </c>
    </row>
    <row r="7" spans="1:8" x14ac:dyDescent="0.25">
      <c r="A7" s="93"/>
      <c r="B7" s="93"/>
      <c r="C7" s="93"/>
      <c r="D7" s="93"/>
      <c r="E7" s="93"/>
      <c r="F7" s="93"/>
      <c r="G7" s="93"/>
      <c r="H7" s="93"/>
    </row>
    <row r="8" spans="1:8" x14ac:dyDescent="0.25">
      <c r="A8" s="92" t="s">
        <v>200</v>
      </c>
      <c r="B8" s="91" t="s">
        <v>199</v>
      </c>
      <c r="C8" s="91" t="s">
        <v>198</v>
      </c>
      <c r="D8" s="91" t="s">
        <v>197</v>
      </c>
      <c r="E8" s="91" t="s">
        <v>196</v>
      </c>
      <c r="F8" s="91" t="s">
        <v>195</v>
      </c>
      <c r="G8" s="91" t="s">
        <v>194</v>
      </c>
      <c r="H8" s="91" t="s">
        <v>193</v>
      </c>
    </row>
    <row r="9" spans="1:8" x14ac:dyDescent="0.25">
      <c r="A9" t="s">
        <v>279</v>
      </c>
      <c r="B9" s="86" t="s">
        <v>93</v>
      </c>
      <c r="C9" s="86">
        <v>1</v>
      </c>
      <c r="D9" s="98">
        <f>400000/1.27</f>
        <v>314960.62992125982</v>
      </c>
      <c r="E9" s="85">
        <f>C9*D9</f>
        <v>314960.62992125982</v>
      </c>
      <c r="F9" s="87">
        <v>0.27</v>
      </c>
      <c r="G9" s="85">
        <f>E9*F9</f>
        <v>85039.370078740161</v>
      </c>
      <c r="H9" s="85">
        <f>E9+G9</f>
        <v>400000</v>
      </c>
    </row>
    <row r="10" spans="1:8" x14ac:dyDescent="0.25">
      <c r="A10" s="88"/>
      <c r="B10" s="86"/>
      <c r="C10" s="86"/>
      <c r="D10" s="98"/>
      <c r="E10" s="85"/>
      <c r="F10" s="87"/>
      <c r="G10" s="85"/>
      <c r="H10" s="85"/>
    </row>
    <row r="11" spans="1:8" x14ac:dyDescent="0.25">
      <c r="A11" s="88"/>
      <c r="B11" s="86"/>
      <c r="C11" s="86"/>
      <c r="D11" s="85"/>
      <c r="E11" s="85"/>
      <c r="F11" s="86"/>
      <c r="G11" s="85"/>
      <c r="H11" s="85"/>
    </row>
    <row r="12" spans="1:8" x14ac:dyDescent="0.25">
      <c r="A12" s="88"/>
      <c r="B12" s="86"/>
      <c r="C12" s="86"/>
      <c r="D12" s="85"/>
      <c r="E12" s="85"/>
      <c r="F12" s="87"/>
      <c r="G12" s="85"/>
      <c r="H12" s="85"/>
    </row>
    <row r="13" spans="1:8" x14ac:dyDescent="0.25">
      <c r="A13" s="88"/>
      <c r="B13" s="86"/>
      <c r="C13" s="86"/>
      <c r="D13" s="85"/>
      <c r="E13" s="85"/>
      <c r="F13" s="86"/>
      <c r="G13" s="85"/>
      <c r="H13" s="85"/>
    </row>
    <row r="14" spans="1:8" x14ac:dyDescent="0.25">
      <c r="A14" s="304" t="s">
        <v>192</v>
      </c>
      <c r="B14" s="305"/>
      <c r="C14" s="305"/>
      <c r="D14" s="306"/>
      <c r="E14" s="84">
        <f>SUM(E9:E13)</f>
        <v>314960.62992125982</v>
      </c>
      <c r="F14" s="90"/>
      <c r="G14" s="84">
        <f>SUM(G9:G13)</f>
        <v>85039.370078740161</v>
      </c>
      <c r="H14" s="84">
        <f>SUM(H9:H13)</f>
        <v>400000</v>
      </c>
    </row>
    <row r="15" spans="1:8" x14ac:dyDescent="0.25">
      <c r="A15" s="89"/>
      <c r="B15" s="89"/>
      <c r="C15" s="89"/>
      <c r="D15" s="89"/>
      <c r="E15" s="89"/>
      <c r="F15" s="89"/>
      <c r="G15" s="89"/>
      <c r="H15" s="89"/>
    </row>
    <row r="16" spans="1:8" x14ac:dyDescent="0.25">
      <c r="A16" s="307" t="s">
        <v>191</v>
      </c>
      <c r="B16" s="307"/>
      <c r="C16" s="307"/>
      <c r="D16" s="87">
        <v>0.27</v>
      </c>
      <c r="E16" s="87">
        <v>0.05</v>
      </c>
      <c r="F16" s="308" t="s">
        <v>190</v>
      </c>
      <c r="G16" s="308"/>
      <c r="H16" s="86" t="s">
        <v>12</v>
      </c>
    </row>
    <row r="17" spans="1:8" x14ac:dyDescent="0.25">
      <c r="A17" s="299" t="s">
        <v>189</v>
      </c>
      <c r="B17" s="299"/>
      <c r="C17" s="299"/>
      <c r="D17" s="85">
        <f>SUM(E9:E13)</f>
        <v>314960.62992125982</v>
      </c>
      <c r="E17" s="85">
        <v>0</v>
      </c>
      <c r="F17" s="300">
        <v>0</v>
      </c>
      <c r="G17" s="300"/>
      <c r="H17" s="85">
        <f>SUM(D17:G17)</f>
        <v>314960.62992125982</v>
      </c>
    </row>
    <row r="18" spans="1:8" x14ac:dyDescent="0.25">
      <c r="A18" s="299" t="s">
        <v>188</v>
      </c>
      <c r="B18" s="299"/>
      <c r="C18" s="299"/>
      <c r="D18" s="85">
        <f>SUM(G9:G10)</f>
        <v>85039.370078740161</v>
      </c>
      <c r="E18" s="85">
        <v>0</v>
      </c>
      <c r="F18" s="300">
        <v>0</v>
      </c>
      <c r="G18" s="300"/>
      <c r="H18" s="85">
        <f>SUM(D18:G18)</f>
        <v>85039.370078740161</v>
      </c>
    </row>
    <row r="19" spans="1:8" x14ac:dyDescent="0.25">
      <c r="A19" s="301" t="s">
        <v>187</v>
      </c>
      <c r="B19" s="301"/>
      <c r="C19" s="301"/>
      <c r="D19" s="84">
        <f>SUM(D17:D18)</f>
        <v>400000</v>
      </c>
      <c r="E19" s="84">
        <f>SUM(E17:E18)</f>
        <v>0</v>
      </c>
      <c r="F19" s="301">
        <f>SUM(F17:G18)</f>
        <v>0</v>
      </c>
      <c r="G19" s="301"/>
      <c r="H19" s="83">
        <f>SUM(H17:H18)</f>
        <v>400000</v>
      </c>
    </row>
  </sheetData>
  <mergeCells count="17">
    <mergeCell ref="A18:C18"/>
    <mergeCell ref="F18:G18"/>
    <mergeCell ref="A19:C19"/>
    <mergeCell ref="F19:G19"/>
    <mergeCell ref="B6:C6"/>
    <mergeCell ref="F6:G6"/>
    <mergeCell ref="A14:D14"/>
    <mergeCell ref="A16:C16"/>
    <mergeCell ref="F16:G16"/>
    <mergeCell ref="A17:C17"/>
    <mergeCell ref="F17:G17"/>
    <mergeCell ref="A1:H1"/>
    <mergeCell ref="B2:H2"/>
    <mergeCell ref="B3:H3"/>
    <mergeCell ref="B4:H4"/>
    <mergeCell ref="B5:C5"/>
    <mergeCell ref="F5:G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A6F5E-AEE3-4637-9BE9-C22D7D572277}">
  <dimension ref="A1:J19"/>
  <sheetViews>
    <sheetView topLeftCell="A4" zoomScale="85" zoomScaleNormal="85" workbookViewId="0">
      <selection activeCell="H15" sqref="H15"/>
    </sheetView>
  </sheetViews>
  <sheetFormatPr defaultRowHeight="15" x14ac:dyDescent="0.25"/>
  <cols>
    <col min="1" max="1" width="39.85546875" customWidth="1"/>
    <col min="2" max="2" width="11.140625" customWidth="1"/>
    <col min="3" max="3" width="8.85546875" customWidth="1"/>
    <col min="4" max="5" width="17.7109375" customWidth="1"/>
    <col min="6" max="6" width="7.7109375" customWidth="1"/>
    <col min="7" max="7" width="10" customWidth="1"/>
    <col min="8" max="8" width="17.7109375" customWidth="1"/>
    <col min="10" max="10" width="21.85546875" customWidth="1"/>
  </cols>
  <sheetData>
    <row r="1" spans="1:10" x14ac:dyDescent="0.25">
      <c r="A1" s="287" t="s">
        <v>208</v>
      </c>
      <c r="B1" s="287"/>
      <c r="C1" s="287"/>
      <c r="D1" s="287"/>
      <c r="E1" s="287"/>
      <c r="F1" s="287"/>
      <c r="G1" s="287"/>
      <c r="H1" s="287"/>
    </row>
    <row r="2" spans="1:10" ht="23.25" x14ac:dyDescent="0.25">
      <c r="A2" s="97" t="s">
        <v>207</v>
      </c>
      <c r="B2" s="288" t="s">
        <v>206</v>
      </c>
      <c r="C2" s="289"/>
      <c r="D2" s="289"/>
      <c r="E2" s="289"/>
      <c r="F2" s="289"/>
      <c r="G2" s="289"/>
      <c r="H2" s="290"/>
    </row>
    <row r="3" spans="1:10" ht="21.6" customHeight="1" x14ac:dyDescent="0.25">
      <c r="A3" s="96" t="s">
        <v>126</v>
      </c>
      <c r="B3" s="291" t="s">
        <v>210</v>
      </c>
      <c r="C3" s="292"/>
      <c r="D3" s="292"/>
      <c r="E3" s="292"/>
      <c r="F3" s="292"/>
      <c r="G3" s="292"/>
      <c r="H3" s="293"/>
    </row>
    <row r="4" spans="1:10" ht="21.6" customHeight="1" x14ac:dyDescent="0.25">
      <c r="A4" s="100" t="s">
        <v>140</v>
      </c>
      <c r="B4" s="294" t="s">
        <v>211</v>
      </c>
      <c r="C4" s="295"/>
      <c r="D4" s="295"/>
      <c r="E4" s="295"/>
      <c r="F4" s="295"/>
      <c r="G4" s="295"/>
      <c r="H4" s="296"/>
    </row>
    <row r="5" spans="1:10" x14ac:dyDescent="0.25">
      <c r="A5" s="94" t="s">
        <v>209</v>
      </c>
      <c r="B5" s="297" t="s">
        <v>205</v>
      </c>
      <c r="C5" s="298"/>
      <c r="D5" s="95" t="s">
        <v>204</v>
      </c>
      <c r="E5" s="95" t="s">
        <v>203</v>
      </c>
      <c r="F5" s="297" t="s">
        <v>202</v>
      </c>
      <c r="G5" s="298"/>
      <c r="H5" s="95" t="s">
        <v>201</v>
      </c>
    </row>
    <row r="6" spans="1:10" x14ac:dyDescent="0.25">
      <c r="A6" s="101" t="s">
        <v>180</v>
      </c>
      <c r="B6" s="302" t="s">
        <v>212</v>
      </c>
      <c r="C6" s="302"/>
      <c r="D6" s="99">
        <v>45975</v>
      </c>
      <c r="E6" s="99">
        <v>45975</v>
      </c>
      <c r="F6" s="303">
        <v>45990</v>
      </c>
      <c r="G6" s="302"/>
      <c r="H6" s="101" t="s">
        <v>412</v>
      </c>
    </row>
    <row r="7" spans="1:10" x14ac:dyDescent="0.25">
      <c r="A7" s="93"/>
      <c r="B7" s="93"/>
      <c r="C7" s="93"/>
      <c r="D7" s="93"/>
      <c r="E7" s="93"/>
      <c r="F7" s="93"/>
      <c r="G7" s="93"/>
      <c r="H7" s="93"/>
    </row>
    <row r="8" spans="1:10" x14ac:dyDescent="0.25">
      <c r="A8" s="92" t="s">
        <v>200</v>
      </c>
      <c r="B8" s="91" t="s">
        <v>199</v>
      </c>
      <c r="C8" s="91" t="s">
        <v>198</v>
      </c>
      <c r="D8" s="91" t="s">
        <v>197</v>
      </c>
      <c r="E8" s="91" t="s">
        <v>196</v>
      </c>
      <c r="F8" s="91" t="s">
        <v>195</v>
      </c>
      <c r="G8" s="91" t="s">
        <v>194</v>
      </c>
      <c r="H8" s="91" t="s">
        <v>193</v>
      </c>
    </row>
    <row r="9" spans="1:10" x14ac:dyDescent="0.25">
      <c r="A9" t="s">
        <v>414</v>
      </c>
      <c r="B9" s="86" t="s">
        <v>93</v>
      </c>
      <c r="C9" s="86">
        <v>32</v>
      </c>
      <c r="D9" s="98">
        <v>153200</v>
      </c>
      <c r="E9" s="85">
        <f>C9*D9</f>
        <v>4902400</v>
      </c>
      <c r="F9" s="87">
        <v>0.27</v>
      </c>
      <c r="G9" s="85">
        <f>E9*F9</f>
        <v>1323648</v>
      </c>
      <c r="H9" s="85">
        <f>E9+G9</f>
        <v>6226048</v>
      </c>
    </row>
    <row r="10" spans="1:10" x14ac:dyDescent="0.25">
      <c r="A10" s="88" t="s">
        <v>413</v>
      </c>
      <c r="B10" s="86" t="s">
        <v>93</v>
      </c>
      <c r="C10" s="86">
        <v>11</v>
      </c>
      <c r="D10" s="98">
        <v>111300</v>
      </c>
      <c r="E10" s="85">
        <f>C10*D10</f>
        <v>1224300</v>
      </c>
      <c r="F10" s="87">
        <v>0.27</v>
      </c>
      <c r="G10" s="85">
        <f>E10*F10</f>
        <v>330561</v>
      </c>
      <c r="H10" s="85">
        <f>E10+G10</f>
        <v>1554861</v>
      </c>
      <c r="J10" s="177">
        <f>SUM(G9:G10)</f>
        <v>1654209</v>
      </c>
    </row>
    <row r="11" spans="1:10" x14ac:dyDescent="0.25">
      <c r="A11" s="88" t="s">
        <v>421</v>
      </c>
      <c r="B11" s="86" t="s">
        <v>422</v>
      </c>
      <c r="C11" s="86">
        <v>1</v>
      </c>
      <c r="D11" s="85">
        <f>-'Kimenő számla (2)'!D9</f>
        <v>-314960.62992125982</v>
      </c>
      <c r="E11" s="85">
        <f>-'Kimenő számla (2)'!E9</f>
        <v>-314960.62992125982</v>
      </c>
      <c r="F11" s="176">
        <v>0.27</v>
      </c>
      <c r="G11" s="85">
        <f>-'Kimenő számla (2)'!G9</f>
        <v>-85039.370078740161</v>
      </c>
      <c r="H11" s="85">
        <f>-'Kimenő számla (2)'!H9</f>
        <v>-400000</v>
      </c>
    </row>
    <row r="12" spans="1:10" x14ac:dyDescent="0.25">
      <c r="A12" s="88"/>
      <c r="B12" s="86"/>
      <c r="C12" s="86"/>
      <c r="D12" s="85"/>
      <c r="E12" s="85"/>
      <c r="F12" s="87"/>
      <c r="G12" s="85"/>
      <c r="H12" s="85"/>
    </row>
    <row r="13" spans="1:10" x14ac:dyDescent="0.25">
      <c r="A13" s="88"/>
      <c r="B13" s="86"/>
      <c r="C13" s="86"/>
      <c r="D13" s="85"/>
      <c r="E13" s="85"/>
      <c r="F13" s="86"/>
      <c r="G13" s="85"/>
      <c r="H13" s="85"/>
    </row>
    <row r="14" spans="1:10" x14ac:dyDescent="0.25">
      <c r="A14" s="304" t="s">
        <v>192</v>
      </c>
      <c r="B14" s="305"/>
      <c r="C14" s="305"/>
      <c r="D14" s="306"/>
      <c r="E14" s="84">
        <f>SUM(E9:E13)</f>
        <v>5811739.3700787406</v>
      </c>
      <c r="F14" s="90"/>
      <c r="G14" s="84">
        <f>SUM(G9:G13)</f>
        <v>1569169.6299212598</v>
      </c>
      <c r="H14" s="84">
        <f>SUM(H9:H13)</f>
        <v>7380909</v>
      </c>
    </row>
    <row r="15" spans="1:10" x14ac:dyDescent="0.25">
      <c r="A15" s="89"/>
      <c r="B15" s="89"/>
      <c r="C15" s="89"/>
      <c r="D15" s="89"/>
      <c r="E15" s="89"/>
      <c r="F15" s="89"/>
      <c r="G15" s="89"/>
      <c r="H15" s="89"/>
    </row>
    <row r="16" spans="1:10" x14ac:dyDescent="0.25">
      <c r="A16" s="307" t="s">
        <v>191</v>
      </c>
      <c r="B16" s="307"/>
      <c r="C16" s="307"/>
      <c r="D16" s="87">
        <v>0.27</v>
      </c>
      <c r="E16" s="87">
        <v>0.05</v>
      </c>
      <c r="F16" s="308" t="s">
        <v>190</v>
      </c>
      <c r="G16" s="308"/>
      <c r="H16" s="86" t="s">
        <v>12</v>
      </c>
    </row>
    <row r="17" spans="1:8" x14ac:dyDescent="0.25">
      <c r="A17" s="299" t="s">
        <v>189</v>
      </c>
      <c r="B17" s="299"/>
      <c r="C17" s="299"/>
      <c r="D17" s="85">
        <f>SUM(E9:E13)</f>
        <v>5811739.3700787406</v>
      </c>
      <c r="E17" s="85">
        <v>0</v>
      </c>
      <c r="F17" s="300">
        <v>0</v>
      </c>
      <c r="G17" s="300"/>
      <c r="H17" s="85">
        <f>SUM(D17:G17)</f>
        <v>5811739.3700787406</v>
      </c>
    </row>
    <row r="18" spans="1:8" x14ac:dyDescent="0.25">
      <c r="A18" s="299" t="s">
        <v>188</v>
      </c>
      <c r="B18" s="299"/>
      <c r="C18" s="299"/>
      <c r="D18" s="85">
        <f>SUM(G9:G11)</f>
        <v>1569169.6299212598</v>
      </c>
      <c r="E18" s="85">
        <v>0</v>
      </c>
      <c r="F18" s="300">
        <v>0</v>
      </c>
      <c r="G18" s="300"/>
      <c r="H18" s="85">
        <f>SUM(D18:G18)</f>
        <v>1569169.6299212598</v>
      </c>
    </row>
    <row r="19" spans="1:8" x14ac:dyDescent="0.25">
      <c r="A19" s="301" t="s">
        <v>187</v>
      </c>
      <c r="B19" s="301"/>
      <c r="C19" s="301"/>
      <c r="D19" s="84">
        <f>SUM(D17:D18)</f>
        <v>7380909</v>
      </c>
      <c r="E19" s="84">
        <f>SUM(E17:E18)</f>
        <v>0</v>
      </c>
      <c r="F19" s="301">
        <f>SUM(F17:G18)</f>
        <v>0</v>
      </c>
      <c r="G19" s="301"/>
      <c r="H19" s="83">
        <f>SUM(H17:H18)</f>
        <v>7380909</v>
      </c>
    </row>
  </sheetData>
  <mergeCells count="17">
    <mergeCell ref="A1:H1"/>
    <mergeCell ref="B2:H2"/>
    <mergeCell ref="B3:H3"/>
    <mergeCell ref="B4:H4"/>
    <mergeCell ref="B5:C5"/>
    <mergeCell ref="F5:G5"/>
    <mergeCell ref="A18:C18"/>
    <mergeCell ref="F18:G18"/>
    <mergeCell ref="A19:C19"/>
    <mergeCell ref="F19:G19"/>
    <mergeCell ref="B6:C6"/>
    <mergeCell ref="F6:G6"/>
    <mergeCell ref="A14:D14"/>
    <mergeCell ref="A16:C16"/>
    <mergeCell ref="F16:G16"/>
    <mergeCell ref="A17:C17"/>
    <mergeCell ref="F17:G1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650E1-B1DF-414F-B474-DE9F1E2B1B6B}">
  <dimension ref="A1:L10"/>
  <sheetViews>
    <sheetView topLeftCell="G1" zoomScaleNormal="100" workbookViewId="0">
      <selection activeCell="L9" sqref="L9"/>
    </sheetView>
  </sheetViews>
  <sheetFormatPr defaultRowHeight="15" x14ac:dyDescent="0.25"/>
  <cols>
    <col min="1" max="12" width="22" customWidth="1"/>
  </cols>
  <sheetData>
    <row r="1" spans="1:12" ht="18.75" x14ac:dyDescent="0.3">
      <c r="A1" s="309" t="s">
        <v>221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101"/>
    </row>
    <row r="2" spans="1:12" x14ac:dyDescent="0.25">
      <c r="A2" s="102" t="s">
        <v>102</v>
      </c>
      <c r="B2" s="102" t="s">
        <v>222</v>
      </c>
      <c r="C2" s="102" t="s">
        <v>230</v>
      </c>
      <c r="D2" s="102" t="s">
        <v>248</v>
      </c>
      <c r="E2" s="102" t="s">
        <v>231</v>
      </c>
      <c r="F2" s="102" t="s">
        <v>238</v>
      </c>
      <c r="G2" s="102" t="s">
        <v>232</v>
      </c>
      <c r="H2" s="102" t="s">
        <v>233</v>
      </c>
      <c r="I2" s="102" t="s">
        <v>234</v>
      </c>
      <c r="J2" s="102" t="s">
        <v>235</v>
      </c>
      <c r="K2" s="102" t="s">
        <v>236</v>
      </c>
      <c r="L2" s="102" t="s">
        <v>237</v>
      </c>
    </row>
    <row r="3" spans="1:12" x14ac:dyDescent="0.25">
      <c r="A3" s="101">
        <v>1</v>
      </c>
      <c r="B3" s="101" t="s">
        <v>223</v>
      </c>
      <c r="C3" s="101" t="s">
        <v>224</v>
      </c>
      <c r="D3" s="101" t="s">
        <v>249</v>
      </c>
      <c r="E3" s="101" t="s">
        <v>225</v>
      </c>
      <c r="F3" s="101" t="s">
        <v>240</v>
      </c>
      <c r="G3" s="99">
        <v>45933</v>
      </c>
      <c r="H3" s="99">
        <v>45963</v>
      </c>
      <c r="I3" s="101"/>
      <c r="J3" s="98">
        <v>186340</v>
      </c>
      <c r="K3" s="101">
        <v>0</v>
      </c>
      <c r="L3" s="98">
        <f t="shared" ref="L3:L10" si="0">J3-K3</f>
        <v>186340</v>
      </c>
    </row>
    <row r="4" spans="1:12" x14ac:dyDescent="0.25">
      <c r="A4" s="101">
        <v>2</v>
      </c>
      <c r="B4" s="101" t="s">
        <v>223</v>
      </c>
      <c r="C4" s="101" t="s">
        <v>183</v>
      </c>
      <c r="D4" s="101" t="s">
        <v>250</v>
      </c>
      <c r="E4" s="101" t="s">
        <v>226</v>
      </c>
      <c r="F4" s="101" t="s">
        <v>239</v>
      </c>
      <c r="G4" s="99">
        <v>45938</v>
      </c>
      <c r="H4" s="99">
        <v>45946</v>
      </c>
      <c r="I4" s="99">
        <v>45946</v>
      </c>
      <c r="J4" s="98">
        <v>304800</v>
      </c>
      <c r="K4" s="98">
        <v>304800</v>
      </c>
      <c r="L4" s="98">
        <f t="shared" si="0"/>
        <v>0</v>
      </c>
    </row>
    <row r="5" spans="1:12" x14ac:dyDescent="0.25">
      <c r="A5" s="101">
        <v>3</v>
      </c>
      <c r="B5" s="101" t="s">
        <v>223</v>
      </c>
      <c r="C5" s="101" t="s">
        <v>227</v>
      </c>
      <c r="D5" s="101" t="s">
        <v>252</v>
      </c>
      <c r="E5" s="101" t="s">
        <v>228</v>
      </c>
      <c r="F5" s="101" t="s">
        <v>241</v>
      </c>
      <c r="G5" s="99">
        <v>45943</v>
      </c>
      <c r="H5" s="99">
        <v>45958</v>
      </c>
      <c r="I5" s="101"/>
      <c r="J5" s="98">
        <v>152400</v>
      </c>
      <c r="K5" s="98">
        <v>152400</v>
      </c>
      <c r="L5" s="98">
        <f t="shared" si="0"/>
        <v>0</v>
      </c>
    </row>
    <row r="6" spans="1:12" x14ac:dyDescent="0.25">
      <c r="A6" s="101">
        <v>4</v>
      </c>
      <c r="B6" s="101" t="s">
        <v>229</v>
      </c>
      <c r="C6" s="101" t="s">
        <v>210</v>
      </c>
      <c r="D6" s="101" t="s">
        <v>251</v>
      </c>
      <c r="E6" s="101" t="s">
        <v>155</v>
      </c>
      <c r="F6" s="101"/>
      <c r="G6" s="99">
        <v>45951</v>
      </c>
      <c r="H6" s="99">
        <v>45967</v>
      </c>
      <c r="I6" s="175">
        <v>45966</v>
      </c>
      <c r="J6" s="101">
        <v>4572000</v>
      </c>
      <c r="K6" s="177">
        <v>4572000</v>
      </c>
      <c r="L6" s="98">
        <f t="shared" si="0"/>
        <v>0</v>
      </c>
    </row>
    <row r="7" spans="1:12" x14ac:dyDescent="0.25">
      <c r="A7" s="101">
        <v>5</v>
      </c>
      <c r="B7" s="101" t="s">
        <v>229</v>
      </c>
      <c r="C7" s="101" t="s">
        <v>210</v>
      </c>
      <c r="D7" s="101" t="s">
        <v>279</v>
      </c>
      <c r="E7" s="101" t="s">
        <v>277</v>
      </c>
      <c r="F7" s="101"/>
      <c r="G7" s="99">
        <v>45951</v>
      </c>
      <c r="H7" s="99">
        <v>45967</v>
      </c>
      <c r="I7" s="99">
        <v>45960</v>
      </c>
      <c r="J7" s="85">
        <v>400000</v>
      </c>
      <c r="K7" s="101">
        <v>400000</v>
      </c>
      <c r="L7" s="98">
        <f t="shared" si="0"/>
        <v>0</v>
      </c>
    </row>
    <row r="8" spans="1:12" ht="30" x14ac:dyDescent="0.25">
      <c r="A8" s="101">
        <v>6</v>
      </c>
      <c r="B8" s="101" t="s">
        <v>223</v>
      </c>
      <c r="C8" s="101" t="s">
        <v>323</v>
      </c>
      <c r="D8" s="112" t="s">
        <v>320</v>
      </c>
      <c r="E8" s="101" t="s">
        <v>321</v>
      </c>
      <c r="F8" s="101" t="s">
        <v>322</v>
      </c>
      <c r="G8" s="99">
        <v>45966</v>
      </c>
      <c r="H8" s="99">
        <v>45974</v>
      </c>
      <c r="I8" s="175">
        <v>45968</v>
      </c>
      <c r="J8" s="98">
        <f>7932674-396634</f>
        <v>7536040</v>
      </c>
      <c r="K8" s="177">
        <v>7536040</v>
      </c>
      <c r="L8" s="98">
        <f t="shared" si="0"/>
        <v>0</v>
      </c>
    </row>
    <row r="9" spans="1:12" x14ac:dyDescent="0.25">
      <c r="A9" s="101">
        <v>7</v>
      </c>
      <c r="B9" s="101" t="s">
        <v>223</v>
      </c>
      <c r="C9" s="101" t="s">
        <v>405</v>
      </c>
      <c r="D9" s="101" t="s">
        <v>410</v>
      </c>
      <c r="E9" s="101" t="s">
        <v>411</v>
      </c>
      <c r="F9" s="101" t="s">
        <v>406</v>
      </c>
      <c r="G9" s="99">
        <v>45975</v>
      </c>
      <c r="H9" s="99">
        <v>45983</v>
      </c>
      <c r="I9" s="99">
        <v>45985</v>
      </c>
      <c r="J9" s="98">
        <v>1778000</v>
      </c>
      <c r="K9" s="98">
        <v>1778000</v>
      </c>
      <c r="L9" s="98">
        <f t="shared" si="0"/>
        <v>0</v>
      </c>
    </row>
    <row r="10" spans="1:12" x14ac:dyDescent="0.25">
      <c r="A10" s="100">
        <v>8</v>
      </c>
      <c r="B10" s="100" t="s">
        <v>229</v>
      </c>
      <c r="C10" s="101" t="s">
        <v>210</v>
      </c>
      <c r="D10" s="100" t="s">
        <v>415</v>
      </c>
      <c r="E10" s="101" t="s">
        <v>412</v>
      </c>
      <c r="G10" s="175">
        <v>45975</v>
      </c>
      <c r="H10" s="175">
        <v>45990</v>
      </c>
      <c r="J10" s="177">
        <f>'Kimenő számla (3)'!H14</f>
        <v>7380909</v>
      </c>
      <c r="K10" s="100">
        <v>0</v>
      </c>
      <c r="L10" s="98">
        <f t="shared" si="0"/>
        <v>7380909</v>
      </c>
    </row>
  </sheetData>
  <autoFilter ref="A2:L2" xr:uid="{BBD650E1-B1DF-414F-B474-DE9F1E2B1B6B}"/>
  <mergeCells count="1">
    <mergeCell ref="A1:K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23E0F-3660-47C1-997C-213C6FC3E355}">
  <dimension ref="A1:L22"/>
  <sheetViews>
    <sheetView topLeftCell="A4" zoomScaleNormal="100" workbookViewId="0">
      <selection activeCell="A13" sqref="A13"/>
    </sheetView>
  </sheetViews>
  <sheetFormatPr defaultRowHeight="15" x14ac:dyDescent="0.25"/>
  <cols>
    <col min="1" max="2" width="24" customWidth="1"/>
    <col min="3" max="3" width="25.42578125" customWidth="1"/>
    <col min="4" max="11" width="24" customWidth="1"/>
    <col min="12" max="12" width="14.28515625" customWidth="1"/>
  </cols>
  <sheetData>
    <row r="1" spans="1:12" ht="21" x14ac:dyDescent="0.35">
      <c r="A1" s="310" t="s">
        <v>242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</row>
    <row r="2" spans="1:12" ht="30" x14ac:dyDescent="0.25">
      <c r="A2" s="125" t="s">
        <v>253</v>
      </c>
      <c r="B2" s="125" t="s">
        <v>257</v>
      </c>
      <c r="C2" s="125" t="s">
        <v>254</v>
      </c>
      <c r="D2" s="126" t="s">
        <v>259</v>
      </c>
      <c r="E2" s="126" t="s">
        <v>260</v>
      </c>
      <c r="F2" s="125" t="s">
        <v>258</v>
      </c>
      <c r="G2" s="125" t="s">
        <v>232</v>
      </c>
      <c r="H2" s="125" t="s">
        <v>255</v>
      </c>
      <c r="I2" s="125" t="s">
        <v>246</v>
      </c>
      <c r="J2" s="125" t="s">
        <v>244</v>
      </c>
      <c r="K2" s="125" t="s">
        <v>256</v>
      </c>
      <c r="L2" s="125" t="s">
        <v>261</v>
      </c>
    </row>
    <row r="3" spans="1:12" ht="18.75" customHeight="1" x14ac:dyDescent="0.25">
      <c r="A3" s="101" t="s">
        <v>262</v>
      </c>
      <c r="B3" s="113" t="s">
        <v>263</v>
      </c>
      <c r="C3" s="101" t="s">
        <v>119</v>
      </c>
      <c r="D3" s="101" t="s">
        <v>264</v>
      </c>
      <c r="E3" s="101" t="s">
        <v>265</v>
      </c>
      <c r="F3" s="101" t="s">
        <v>278</v>
      </c>
      <c r="G3" s="114">
        <v>45933</v>
      </c>
      <c r="H3" s="115">
        <f>84836/1.27</f>
        <v>66800</v>
      </c>
      <c r="I3" s="117">
        <v>0.27</v>
      </c>
      <c r="J3" s="101">
        <f>I3*H3</f>
        <v>18036</v>
      </c>
      <c r="K3" s="101"/>
      <c r="L3" s="101"/>
    </row>
    <row r="4" spans="1:12" ht="18.75" customHeight="1" x14ac:dyDescent="0.25">
      <c r="A4" s="113" t="s">
        <v>139</v>
      </c>
      <c r="B4" s="113" t="s">
        <v>266</v>
      </c>
      <c r="C4" s="101" t="s">
        <v>127</v>
      </c>
      <c r="D4" s="101" t="s">
        <v>264</v>
      </c>
      <c r="E4" s="101" t="s">
        <v>265</v>
      </c>
      <c r="F4" s="101" t="s">
        <v>278</v>
      </c>
      <c r="G4" s="114">
        <v>45933</v>
      </c>
      <c r="H4" s="116">
        <v>4368</v>
      </c>
      <c r="I4" s="117">
        <v>0.27</v>
      </c>
      <c r="J4" s="101">
        <f t="shared" ref="J4:J14" si="0">I4*H4</f>
        <v>1179.3600000000001</v>
      </c>
      <c r="K4" s="101"/>
      <c r="L4" s="101"/>
    </row>
    <row r="5" spans="1:12" ht="18.75" customHeight="1" x14ac:dyDescent="0.25">
      <c r="A5" s="113" t="s">
        <v>225</v>
      </c>
      <c r="B5" s="113" t="s">
        <v>276</v>
      </c>
      <c r="C5" s="101" t="s">
        <v>224</v>
      </c>
      <c r="D5" s="101" t="s">
        <v>264</v>
      </c>
      <c r="E5" s="101" t="s">
        <v>265</v>
      </c>
      <c r="F5" s="101" t="s">
        <v>278</v>
      </c>
      <c r="G5" s="114">
        <v>45933</v>
      </c>
      <c r="H5" s="115">
        <v>142000</v>
      </c>
      <c r="I5" s="117">
        <v>0.27</v>
      </c>
      <c r="J5" s="101">
        <f t="shared" si="0"/>
        <v>38340</v>
      </c>
      <c r="K5" s="101"/>
      <c r="L5" s="101"/>
    </row>
    <row r="6" spans="1:12" ht="18.75" customHeight="1" x14ac:dyDescent="0.25">
      <c r="A6" s="113" t="s">
        <v>267</v>
      </c>
      <c r="B6" s="113" t="s">
        <v>181</v>
      </c>
      <c r="C6" s="101" t="s">
        <v>183</v>
      </c>
      <c r="D6" s="101" t="s">
        <v>264</v>
      </c>
      <c r="E6" s="101" t="s">
        <v>265</v>
      </c>
      <c r="F6" s="101" t="s">
        <v>278</v>
      </c>
      <c r="G6" s="114">
        <v>45938</v>
      </c>
      <c r="H6" s="115">
        <v>240000</v>
      </c>
      <c r="I6" s="117">
        <v>0.27</v>
      </c>
      <c r="J6" s="101">
        <f t="shared" si="0"/>
        <v>64800.000000000007</v>
      </c>
      <c r="K6" s="101"/>
      <c r="L6" s="101"/>
    </row>
    <row r="7" spans="1:12" ht="18.75" customHeight="1" x14ac:dyDescent="0.25">
      <c r="A7" s="113" t="s">
        <v>268</v>
      </c>
      <c r="B7" s="113" t="s">
        <v>269</v>
      </c>
      <c r="C7" s="101" t="s">
        <v>227</v>
      </c>
      <c r="D7" s="101" t="s">
        <v>264</v>
      </c>
      <c r="E7" s="101" t="s">
        <v>265</v>
      </c>
      <c r="F7" s="101" t="s">
        <v>278</v>
      </c>
      <c r="G7" s="114">
        <v>45943</v>
      </c>
      <c r="H7" s="115">
        <v>120000</v>
      </c>
      <c r="I7" s="117">
        <v>0.27</v>
      </c>
      <c r="J7" s="101">
        <f t="shared" si="0"/>
        <v>32400.000000000004</v>
      </c>
      <c r="K7" s="101"/>
      <c r="L7" s="101"/>
    </row>
    <row r="8" spans="1:12" ht="18.75" customHeight="1" x14ac:dyDescent="0.25">
      <c r="A8" s="113" t="s">
        <v>270</v>
      </c>
      <c r="B8" s="113" t="s">
        <v>266</v>
      </c>
      <c r="C8" s="101" t="s">
        <v>148</v>
      </c>
      <c r="D8" s="101" t="s">
        <v>264</v>
      </c>
      <c r="E8" s="101" t="s">
        <v>265</v>
      </c>
      <c r="F8" s="101" t="s">
        <v>278</v>
      </c>
      <c r="G8" s="114">
        <v>45950</v>
      </c>
      <c r="H8" s="116">
        <v>1100</v>
      </c>
      <c r="I8" s="117">
        <v>0.27</v>
      </c>
      <c r="J8" s="101">
        <f t="shared" si="0"/>
        <v>297</v>
      </c>
      <c r="K8" s="101"/>
      <c r="L8" s="101"/>
    </row>
    <row r="9" spans="1:12" ht="18.75" customHeight="1" x14ac:dyDescent="0.25">
      <c r="A9" s="101" t="s">
        <v>275</v>
      </c>
      <c r="B9" s="101" t="s">
        <v>274</v>
      </c>
      <c r="C9" s="101" t="s">
        <v>217</v>
      </c>
      <c r="D9" s="101" t="s">
        <v>264</v>
      </c>
      <c r="E9" s="101" t="s">
        <v>265</v>
      </c>
      <c r="F9" s="101" t="s">
        <v>278</v>
      </c>
      <c r="G9" s="99">
        <v>45951</v>
      </c>
      <c r="H9" s="115">
        <v>82760</v>
      </c>
      <c r="I9" s="117">
        <v>0.27</v>
      </c>
      <c r="J9" s="101">
        <f t="shared" si="0"/>
        <v>22345.200000000001</v>
      </c>
      <c r="K9" s="101"/>
      <c r="L9" s="101" t="s">
        <v>271</v>
      </c>
    </row>
    <row r="10" spans="1:12" ht="18.75" customHeight="1" x14ac:dyDescent="0.25">
      <c r="A10" s="101" t="s">
        <v>155</v>
      </c>
      <c r="B10" s="101" t="s">
        <v>214</v>
      </c>
      <c r="C10" s="101" t="s">
        <v>210</v>
      </c>
      <c r="D10" s="101" t="s">
        <v>272</v>
      </c>
      <c r="E10" s="101" t="s">
        <v>273</v>
      </c>
      <c r="F10" s="101" t="s">
        <v>278</v>
      </c>
      <c r="G10" s="99">
        <v>45951</v>
      </c>
      <c r="H10" s="115">
        <v>3600000</v>
      </c>
      <c r="I10" s="117">
        <v>0.27</v>
      </c>
      <c r="J10" s="101">
        <f t="shared" si="0"/>
        <v>972000.00000000012</v>
      </c>
      <c r="K10" s="101"/>
      <c r="L10" s="101"/>
    </row>
    <row r="11" spans="1:12" ht="18.75" customHeight="1" x14ac:dyDescent="0.25">
      <c r="A11" s="101" t="s">
        <v>277</v>
      </c>
      <c r="B11" s="101" t="s">
        <v>279</v>
      </c>
      <c r="C11" s="101" t="s">
        <v>210</v>
      </c>
      <c r="D11" s="101" t="s">
        <v>272</v>
      </c>
      <c r="E11" s="101" t="s">
        <v>273</v>
      </c>
      <c r="F11" s="101">
        <v>1</v>
      </c>
      <c r="G11" s="99">
        <v>45960</v>
      </c>
      <c r="H11" s="101">
        <f>400000/1.27</f>
        <v>314960.62992125982</v>
      </c>
      <c r="I11" s="117">
        <v>0.27</v>
      </c>
      <c r="J11" s="101">
        <f t="shared" si="0"/>
        <v>85039.370078740161</v>
      </c>
      <c r="K11" s="101"/>
      <c r="L11" s="101"/>
    </row>
    <row r="12" spans="1:12" ht="18.75" customHeight="1" x14ac:dyDescent="0.25">
      <c r="A12" s="101" t="s">
        <v>325</v>
      </c>
      <c r="B12" s="101" t="s">
        <v>326</v>
      </c>
      <c r="C12" s="101" t="s">
        <v>327</v>
      </c>
      <c r="D12" s="101" t="s">
        <v>264</v>
      </c>
      <c r="E12" s="101" t="s">
        <v>265</v>
      </c>
      <c r="F12" s="101">
        <v>1</v>
      </c>
      <c r="G12" s="99">
        <v>45960</v>
      </c>
      <c r="H12" s="115">
        <v>321200</v>
      </c>
      <c r="I12" s="117">
        <v>0.27</v>
      </c>
      <c r="J12" s="101">
        <f t="shared" si="0"/>
        <v>86724</v>
      </c>
      <c r="K12" s="101"/>
      <c r="L12" s="101" t="s">
        <v>271</v>
      </c>
    </row>
    <row r="13" spans="1:12" x14ac:dyDescent="0.25">
      <c r="A13" s="101" t="s">
        <v>321</v>
      </c>
      <c r="B13" s="101" t="s">
        <v>328</v>
      </c>
      <c r="C13" s="101" t="s">
        <v>323</v>
      </c>
      <c r="D13" s="101" t="s">
        <v>264</v>
      </c>
      <c r="E13" s="101" t="s">
        <v>265</v>
      </c>
      <c r="F13" s="101">
        <v>1</v>
      </c>
      <c r="G13" s="99">
        <v>45966</v>
      </c>
      <c r="H13" s="98">
        <v>6246200</v>
      </c>
      <c r="I13" s="117">
        <v>0.27</v>
      </c>
      <c r="J13" s="101">
        <f t="shared" si="0"/>
        <v>1686474</v>
      </c>
      <c r="K13" s="101"/>
      <c r="L13" s="101"/>
    </row>
    <row r="14" spans="1:12" x14ac:dyDescent="0.25">
      <c r="A14" s="101" t="s">
        <v>412</v>
      </c>
      <c r="B14" s="100" t="s">
        <v>415</v>
      </c>
      <c r="C14" s="101" t="s">
        <v>210</v>
      </c>
      <c r="D14" s="101" t="s">
        <v>272</v>
      </c>
      <c r="E14" s="100" t="s">
        <v>273</v>
      </c>
      <c r="F14" s="100">
        <v>1</v>
      </c>
      <c r="G14" s="175">
        <v>45975</v>
      </c>
      <c r="H14" s="177">
        <f>SUM('Kimenő számla (3)'!E9:E11)</f>
        <v>5811739.3700787406</v>
      </c>
      <c r="I14" s="180">
        <v>0.27</v>
      </c>
      <c r="J14" s="101">
        <f t="shared" si="0"/>
        <v>1569169.6299212601</v>
      </c>
    </row>
    <row r="17" spans="3:12" ht="16.5" x14ac:dyDescent="0.25">
      <c r="C17" s="104"/>
      <c r="D17" s="104"/>
      <c r="E17" s="104"/>
      <c r="F17" s="105"/>
      <c r="G17" s="106" t="s">
        <v>435</v>
      </c>
      <c r="H17" s="105">
        <f>J11</f>
        <v>85039.370078740161</v>
      </c>
      <c r="I17" s="106"/>
      <c r="J17" s="107"/>
    </row>
    <row r="18" spans="3:12" ht="16.5" x14ac:dyDescent="0.25">
      <c r="C18" s="108"/>
      <c r="D18" s="108"/>
      <c r="E18" s="108"/>
      <c r="F18" s="109"/>
      <c r="G18" s="110" t="s">
        <v>436</v>
      </c>
      <c r="H18" s="109">
        <f>J12</f>
        <v>86724</v>
      </c>
      <c r="I18" s="110"/>
      <c r="J18" s="111"/>
    </row>
    <row r="19" spans="3:12" ht="16.5" x14ac:dyDescent="0.25">
      <c r="C19" s="108"/>
      <c r="D19" s="108"/>
      <c r="E19" s="108"/>
      <c r="F19" s="109"/>
      <c r="G19" s="110"/>
      <c r="H19" s="109">
        <f>H18-H17</f>
        <v>1684.6299212598387</v>
      </c>
      <c r="I19" s="110"/>
      <c r="J19" s="173"/>
      <c r="K19" s="174"/>
      <c r="L19" s="174"/>
    </row>
    <row r="20" spans="3:12" ht="16.5" x14ac:dyDescent="0.25">
      <c r="C20" s="108"/>
      <c r="D20" s="108"/>
      <c r="E20" s="108"/>
      <c r="F20" s="109"/>
      <c r="G20" s="110"/>
      <c r="H20" s="109"/>
      <c r="I20" s="110"/>
      <c r="J20" s="171"/>
      <c r="L20" s="172"/>
    </row>
    <row r="21" spans="3:12" ht="16.5" x14ac:dyDescent="0.25">
      <c r="C21" s="108"/>
      <c r="D21" s="108"/>
      <c r="E21" s="108"/>
      <c r="F21" s="109"/>
      <c r="G21" s="110"/>
      <c r="H21" s="109"/>
      <c r="I21" s="110"/>
      <c r="J21" s="111"/>
    </row>
    <row r="22" spans="3:12" ht="16.5" x14ac:dyDescent="0.25">
      <c r="C22" s="108"/>
      <c r="D22" s="108"/>
      <c r="E22" s="108"/>
      <c r="F22" s="109"/>
      <c r="G22" s="110"/>
      <c r="H22" s="109"/>
      <c r="I22" s="110"/>
      <c r="J22" s="111"/>
    </row>
  </sheetData>
  <mergeCells count="1">
    <mergeCell ref="A1:L1"/>
  </mergeCells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8A043-0085-4C43-93FE-096055C352D4}">
  <dimension ref="A1:F34"/>
  <sheetViews>
    <sheetView topLeftCell="B23" zoomScale="80" zoomScaleNormal="80" workbookViewId="0">
      <selection activeCell="F35" sqref="F35"/>
    </sheetView>
  </sheetViews>
  <sheetFormatPr defaultRowHeight="15" x14ac:dyDescent="0.25"/>
  <cols>
    <col min="1" max="5" width="26.140625" customWidth="1"/>
    <col min="6" max="6" width="17.85546875" customWidth="1"/>
  </cols>
  <sheetData>
    <row r="1" spans="1:6" ht="27.75" customHeight="1" x14ac:dyDescent="0.35">
      <c r="A1" s="310" t="s">
        <v>289</v>
      </c>
      <c r="B1" s="310"/>
      <c r="C1" s="310"/>
      <c r="D1" s="310"/>
      <c r="E1" s="310"/>
      <c r="F1" s="310"/>
    </row>
    <row r="2" spans="1:6" x14ac:dyDescent="0.25">
      <c r="A2" s="125" t="s">
        <v>102</v>
      </c>
      <c r="B2" s="125" t="s">
        <v>281</v>
      </c>
      <c r="C2" s="125" t="s">
        <v>282</v>
      </c>
      <c r="D2" s="125" t="s">
        <v>283</v>
      </c>
      <c r="E2" s="125" t="s">
        <v>284</v>
      </c>
      <c r="F2" s="125" t="s">
        <v>9</v>
      </c>
    </row>
    <row r="3" spans="1:6" ht="34.5" customHeight="1" x14ac:dyDescent="0.25">
      <c r="A3" s="101" t="s">
        <v>280</v>
      </c>
      <c r="B3" s="99">
        <v>45952</v>
      </c>
      <c r="C3" s="101" t="s">
        <v>285</v>
      </c>
      <c r="D3" s="112" t="s">
        <v>288</v>
      </c>
      <c r="E3" s="101" t="s">
        <v>286</v>
      </c>
      <c r="F3" s="101" t="s">
        <v>287</v>
      </c>
    </row>
    <row r="4" spans="1:6" x14ac:dyDescent="0.25">
      <c r="A4" t="s">
        <v>423</v>
      </c>
      <c r="B4" s="175">
        <v>45952</v>
      </c>
      <c r="C4" t="s">
        <v>426</v>
      </c>
      <c r="D4" t="s">
        <v>430</v>
      </c>
      <c r="E4" t="s">
        <v>429</v>
      </c>
      <c r="F4">
        <v>177397</v>
      </c>
    </row>
    <row r="5" spans="1:6" x14ac:dyDescent="0.25">
      <c r="A5" t="s">
        <v>424</v>
      </c>
      <c r="B5" s="175">
        <v>45952</v>
      </c>
      <c r="C5" t="s">
        <v>427</v>
      </c>
      <c r="D5" t="s">
        <v>431</v>
      </c>
      <c r="E5" t="s">
        <v>430</v>
      </c>
      <c r="F5">
        <v>972000</v>
      </c>
    </row>
    <row r="6" spans="1:6" x14ac:dyDescent="0.25">
      <c r="A6" t="s">
        <v>425</v>
      </c>
      <c r="B6" s="175">
        <v>45952</v>
      </c>
      <c r="C6" t="s">
        <v>428</v>
      </c>
      <c r="D6" t="s">
        <v>498</v>
      </c>
      <c r="E6" t="s">
        <v>430</v>
      </c>
      <c r="F6">
        <v>397</v>
      </c>
    </row>
    <row r="7" spans="1:6" x14ac:dyDescent="0.25">
      <c r="A7" t="s">
        <v>432</v>
      </c>
      <c r="B7" s="175">
        <v>45961</v>
      </c>
      <c r="C7" t="s">
        <v>426</v>
      </c>
      <c r="D7" t="s">
        <v>430</v>
      </c>
      <c r="E7" t="s">
        <v>429</v>
      </c>
      <c r="F7">
        <v>86724</v>
      </c>
    </row>
    <row r="8" spans="1:6" x14ac:dyDescent="0.25">
      <c r="A8" t="s">
        <v>433</v>
      </c>
      <c r="B8" s="175">
        <v>45961</v>
      </c>
      <c r="C8" t="s">
        <v>427</v>
      </c>
      <c r="D8" t="s">
        <v>431</v>
      </c>
      <c r="E8" t="s">
        <v>430</v>
      </c>
      <c r="F8">
        <v>85039</v>
      </c>
    </row>
    <row r="9" spans="1:6" x14ac:dyDescent="0.25">
      <c r="A9" t="s">
        <v>434</v>
      </c>
      <c r="B9" s="175">
        <v>45961</v>
      </c>
      <c r="C9" t="s">
        <v>428</v>
      </c>
      <c r="D9" t="s">
        <v>430</v>
      </c>
      <c r="E9" t="s">
        <v>499</v>
      </c>
      <c r="F9">
        <v>315</v>
      </c>
    </row>
    <row r="10" spans="1:6" x14ac:dyDescent="0.25">
      <c r="A10" t="s">
        <v>500</v>
      </c>
      <c r="B10" s="175">
        <v>45952</v>
      </c>
      <c r="C10" t="s">
        <v>508</v>
      </c>
      <c r="D10" t="s">
        <v>512</v>
      </c>
      <c r="E10" t="s">
        <v>511</v>
      </c>
      <c r="F10">
        <v>82760</v>
      </c>
    </row>
    <row r="11" spans="1:6" x14ac:dyDescent="0.25">
      <c r="A11" t="s">
        <v>501</v>
      </c>
      <c r="B11" s="175">
        <v>45952</v>
      </c>
      <c r="C11" t="s">
        <v>510</v>
      </c>
      <c r="D11" t="s">
        <v>513</v>
      </c>
      <c r="E11" t="s">
        <v>555</v>
      </c>
      <c r="F11">
        <f>F10</f>
        <v>82760</v>
      </c>
    </row>
    <row r="12" spans="1:6" x14ac:dyDescent="0.25">
      <c r="A12" t="s">
        <v>505</v>
      </c>
      <c r="B12" s="175">
        <v>45991</v>
      </c>
      <c r="C12" s="101" t="s">
        <v>527</v>
      </c>
      <c r="D12" t="s">
        <v>525</v>
      </c>
      <c r="E12" t="s">
        <v>523</v>
      </c>
      <c r="F12">
        <v>200000</v>
      </c>
    </row>
    <row r="13" spans="1:6" x14ac:dyDescent="0.25">
      <c r="A13" t="s">
        <v>506</v>
      </c>
      <c r="B13" s="175">
        <v>45991</v>
      </c>
      <c r="C13" s="101" t="s">
        <v>528</v>
      </c>
      <c r="D13" t="s">
        <v>523</v>
      </c>
      <c r="E13" t="s">
        <v>516</v>
      </c>
      <c r="F13">
        <v>30000</v>
      </c>
    </row>
    <row r="14" spans="1:6" x14ac:dyDescent="0.25">
      <c r="A14" t="s">
        <v>507</v>
      </c>
      <c r="B14" s="175">
        <v>45991</v>
      </c>
      <c r="C14" s="101" t="s">
        <v>529</v>
      </c>
      <c r="D14" t="s">
        <v>523</v>
      </c>
      <c r="E14" t="s">
        <v>524</v>
      </c>
      <c r="F14">
        <v>37000</v>
      </c>
    </row>
    <row r="15" spans="1:6" x14ac:dyDescent="0.25">
      <c r="A15" t="s">
        <v>509</v>
      </c>
      <c r="B15" s="175">
        <v>45991</v>
      </c>
      <c r="C15" s="101" t="s">
        <v>530</v>
      </c>
      <c r="D15" t="s">
        <v>517</v>
      </c>
      <c r="E15" t="s">
        <v>518</v>
      </c>
      <c r="F15">
        <v>26000</v>
      </c>
    </row>
    <row r="16" spans="1:6" x14ac:dyDescent="0.25">
      <c r="A16" t="s">
        <v>519</v>
      </c>
      <c r="B16" s="175">
        <v>45991</v>
      </c>
      <c r="C16" s="101" t="s">
        <v>531</v>
      </c>
      <c r="D16" t="s">
        <v>525</v>
      </c>
      <c r="E16" t="s">
        <v>523</v>
      </c>
      <c r="F16">
        <v>150000</v>
      </c>
    </row>
    <row r="17" spans="1:6" x14ac:dyDescent="0.25">
      <c r="A17" t="s">
        <v>520</v>
      </c>
      <c r="B17" s="175">
        <v>45991</v>
      </c>
      <c r="C17" s="101" t="s">
        <v>532</v>
      </c>
      <c r="D17" t="s">
        <v>523</v>
      </c>
      <c r="E17" t="s">
        <v>516</v>
      </c>
      <c r="F17">
        <v>22500</v>
      </c>
    </row>
    <row r="18" spans="1:6" x14ac:dyDescent="0.25">
      <c r="A18" t="s">
        <v>521</v>
      </c>
      <c r="B18" s="175">
        <v>45991</v>
      </c>
      <c r="C18" s="101" t="s">
        <v>533</v>
      </c>
      <c r="D18" t="s">
        <v>523</v>
      </c>
      <c r="E18" t="s">
        <v>524</v>
      </c>
      <c r="F18">
        <v>27750</v>
      </c>
    </row>
    <row r="19" spans="1:6" x14ac:dyDescent="0.25">
      <c r="A19" t="s">
        <v>522</v>
      </c>
      <c r="B19" s="175">
        <v>45991</v>
      </c>
      <c r="C19" s="101" t="s">
        <v>534</v>
      </c>
      <c r="D19" t="s">
        <v>517</v>
      </c>
      <c r="E19" t="s">
        <v>518</v>
      </c>
      <c r="F19">
        <v>19500</v>
      </c>
    </row>
    <row r="20" spans="1:6" x14ac:dyDescent="0.25">
      <c r="A20" t="s">
        <v>543</v>
      </c>
      <c r="B20" s="175">
        <v>45991</v>
      </c>
      <c r="C20" s="101" t="s">
        <v>535</v>
      </c>
      <c r="D20" t="s">
        <v>525</v>
      </c>
      <c r="E20" t="s">
        <v>523</v>
      </c>
      <c r="F20">
        <v>150000</v>
      </c>
    </row>
    <row r="21" spans="1:6" x14ac:dyDescent="0.25">
      <c r="A21" t="s">
        <v>544</v>
      </c>
      <c r="B21" s="175">
        <v>45991</v>
      </c>
      <c r="C21" s="101" t="s">
        <v>536</v>
      </c>
      <c r="D21" t="s">
        <v>523</v>
      </c>
      <c r="E21" t="s">
        <v>516</v>
      </c>
      <c r="F21">
        <v>22500</v>
      </c>
    </row>
    <row r="22" spans="1:6" x14ac:dyDescent="0.25">
      <c r="A22" t="s">
        <v>545</v>
      </c>
      <c r="B22" s="175">
        <v>45991</v>
      </c>
      <c r="C22" s="101" t="s">
        <v>537</v>
      </c>
      <c r="D22" t="s">
        <v>523</v>
      </c>
      <c r="E22" t="s">
        <v>524</v>
      </c>
      <c r="F22">
        <v>27750</v>
      </c>
    </row>
    <row r="23" spans="1:6" x14ac:dyDescent="0.25">
      <c r="A23" t="s">
        <v>546</v>
      </c>
      <c r="B23" s="175">
        <v>45991</v>
      </c>
      <c r="C23" s="101" t="s">
        <v>538</v>
      </c>
      <c r="D23" t="s">
        <v>517</v>
      </c>
      <c r="E23" t="s">
        <v>518</v>
      </c>
      <c r="F23">
        <v>19500</v>
      </c>
    </row>
    <row r="24" spans="1:6" x14ac:dyDescent="0.25">
      <c r="A24" t="s">
        <v>547</v>
      </c>
      <c r="B24" s="175">
        <v>45991</v>
      </c>
      <c r="C24" s="101" t="s">
        <v>539</v>
      </c>
      <c r="D24" t="s">
        <v>525</v>
      </c>
      <c r="E24" t="s">
        <v>523</v>
      </c>
      <c r="F24">
        <v>150000</v>
      </c>
    </row>
    <row r="25" spans="1:6" x14ac:dyDescent="0.25">
      <c r="A25" t="s">
        <v>548</v>
      </c>
      <c r="B25" s="175">
        <v>45991</v>
      </c>
      <c r="C25" s="101" t="s">
        <v>540</v>
      </c>
      <c r="D25" t="s">
        <v>523</v>
      </c>
      <c r="E25" t="s">
        <v>516</v>
      </c>
      <c r="F25">
        <v>22500</v>
      </c>
    </row>
    <row r="26" spans="1:6" x14ac:dyDescent="0.25">
      <c r="A26" t="s">
        <v>549</v>
      </c>
      <c r="B26" s="175">
        <v>45991</v>
      </c>
      <c r="C26" s="101" t="s">
        <v>541</v>
      </c>
      <c r="D26" t="s">
        <v>523</v>
      </c>
      <c r="E26" t="s">
        <v>524</v>
      </c>
      <c r="F26">
        <v>27750</v>
      </c>
    </row>
    <row r="27" spans="1:6" x14ac:dyDescent="0.25">
      <c r="A27" t="s">
        <v>550</v>
      </c>
      <c r="B27" s="175">
        <v>45991</v>
      </c>
      <c r="C27" s="101" t="s">
        <v>542</v>
      </c>
      <c r="D27" t="s">
        <v>517</v>
      </c>
      <c r="E27" t="s">
        <v>518</v>
      </c>
      <c r="F27">
        <v>19500</v>
      </c>
    </row>
    <row r="28" spans="1:6" x14ac:dyDescent="0.25">
      <c r="A28" t="s">
        <v>551</v>
      </c>
      <c r="B28" s="175">
        <v>45993</v>
      </c>
      <c r="C28" t="s">
        <v>502</v>
      </c>
      <c r="D28" t="s">
        <v>515</v>
      </c>
      <c r="E28" t="s">
        <v>514</v>
      </c>
      <c r="F28">
        <v>4829</v>
      </c>
    </row>
    <row r="29" spans="1:6" x14ac:dyDescent="0.25">
      <c r="A29" t="s">
        <v>552</v>
      </c>
      <c r="B29" s="175">
        <v>45993</v>
      </c>
      <c r="C29" t="s">
        <v>503</v>
      </c>
      <c r="D29" t="s">
        <v>514</v>
      </c>
      <c r="E29" t="s">
        <v>516</v>
      </c>
      <c r="F29">
        <v>724</v>
      </c>
    </row>
    <row r="30" spans="1:6" x14ac:dyDescent="0.25">
      <c r="A30" t="s">
        <v>553</v>
      </c>
      <c r="B30" s="175">
        <v>45993</v>
      </c>
      <c r="C30" t="s">
        <v>504</v>
      </c>
      <c r="D30" t="s">
        <v>517</v>
      </c>
      <c r="E30" t="s">
        <v>518</v>
      </c>
      <c r="F30">
        <v>628</v>
      </c>
    </row>
    <row r="31" spans="1:6" x14ac:dyDescent="0.25">
      <c r="A31" t="s">
        <v>554</v>
      </c>
      <c r="B31" s="175">
        <v>45993</v>
      </c>
      <c r="C31" t="s">
        <v>557</v>
      </c>
      <c r="D31" t="s">
        <v>514</v>
      </c>
      <c r="E31" t="s">
        <v>558</v>
      </c>
      <c r="F31">
        <v>300000</v>
      </c>
    </row>
    <row r="32" spans="1:6" x14ac:dyDescent="0.25">
      <c r="A32" t="s">
        <v>556</v>
      </c>
      <c r="B32" s="175">
        <v>45993</v>
      </c>
      <c r="C32" t="s">
        <v>559</v>
      </c>
      <c r="D32" t="s">
        <v>514</v>
      </c>
      <c r="E32" t="s">
        <v>558</v>
      </c>
      <c r="F32">
        <v>3477</v>
      </c>
    </row>
    <row r="33" spans="1:6" x14ac:dyDescent="0.25">
      <c r="A33" t="s">
        <v>775</v>
      </c>
      <c r="B33" s="175">
        <v>45952</v>
      </c>
      <c r="C33" t="s">
        <v>778</v>
      </c>
      <c r="D33" t="s">
        <v>777</v>
      </c>
      <c r="E33" t="s">
        <v>776</v>
      </c>
      <c r="F33">
        <v>71891</v>
      </c>
    </row>
    <row r="34" spans="1:6" x14ac:dyDescent="0.25">
      <c r="A34" t="s">
        <v>783</v>
      </c>
      <c r="B34" s="175">
        <v>45952</v>
      </c>
      <c r="C34" t="s">
        <v>784</v>
      </c>
      <c r="D34" t="s">
        <v>786</v>
      </c>
      <c r="E34" t="s">
        <v>785</v>
      </c>
      <c r="F34">
        <v>280000</v>
      </c>
    </row>
  </sheetData>
  <mergeCells count="1">
    <mergeCell ref="A1:F1"/>
  </mergeCells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BD6DB-9DC2-43CA-8C8B-C6897FD37CDE}">
  <dimension ref="A1:K5"/>
  <sheetViews>
    <sheetView topLeftCell="B1" workbookViewId="0">
      <selection activeCell="F8" sqref="F8"/>
    </sheetView>
  </sheetViews>
  <sheetFormatPr defaultRowHeight="15" x14ac:dyDescent="0.25"/>
  <cols>
    <col min="1" max="1" width="18" bestFit="1" customWidth="1"/>
    <col min="2" max="2" width="21" bestFit="1" customWidth="1"/>
    <col min="3" max="3" width="10.140625" bestFit="1" customWidth="1"/>
    <col min="4" max="4" width="7.140625" bestFit="1" customWidth="1"/>
    <col min="5" max="5" width="9.28515625" bestFit="1" customWidth="1"/>
    <col min="6" max="6" width="16" bestFit="1" customWidth="1"/>
    <col min="7" max="7" width="13.7109375" bestFit="1" customWidth="1"/>
    <col min="8" max="8" width="16.42578125" bestFit="1" customWidth="1"/>
    <col min="9" max="9" width="19.85546875" bestFit="1" customWidth="1"/>
    <col min="10" max="10" width="15.140625" bestFit="1" customWidth="1"/>
    <col min="11" max="11" width="30.85546875" bestFit="1" customWidth="1"/>
  </cols>
  <sheetData>
    <row r="1" spans="1:11" x14ac:dyDescent="0.25">
      <c r="A1" s="311" t="s">
        <v>478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</row>
    <row r="2" spans="1:11" x14ac:dyDescent="0.25">
      <c r="A2" s="167" t="s">
        <v>486</v>
      </c>
      <c r="B2" s="167" t="s">
        <v>479</v>
      </c>
      <c r="C2" s="167" t="s">
        <v>281</v>
      </c>
      <c r="D2" s="167" t="s">
        <v>9</v>
      </c>
      <c r="E2" s="167" t="s">
        <v>480</v>
      </c>
      <c r="F2" s="167" t="s">
        <v>481</v>
      </c>
      <c r="G2" s="167" t="s">
        <v>482</v>
      </c>
      <c r="H2" s="167" t="s">
        <v>483</v>
      </c>
      <c r="I2" s="167" t="s">
        <v>484</v>
      </c>
      <c r="J2" s="167" t="s">
        <v>487</v>
      </c>
      <c r="K2" s="167" t="s">
        <v>526</v>
      </c>
    </row>
    <row r="3" spans="1:11" x14ac:dyDescent="0.25">
      <c r="A3" s="101" t="s">
        <v>293</v>
      </c>
      <c r="B3" s="101" t="s">
        <v>158</v>
      </c>
      <c r="C3" s="99">
        <v>45933</v>
      </c>
      <c r="D3" s="101">
        <v>90380</v>
      </c>
      <c r="E3" s="182">
        <f>'Időbeli elhatárolás analitika'!$O$2*2</f>
        <v>0.125</v>
      </c>
      <c r="F3" s="101"/>
      <c r="G3" s="101"/>
      <c r="H3" s="101"/>
      <c r="I3" s="101"/>
      <c r="J3" s="101"/>
      <c r="K3" s="101"/>
    </row>
    <row r="4" spans="1:11" x14ac:dyDescent="0.25">
      <c r="A4" s="101" t="s">
        <v>297</v>
      </c>
      <c r="B4" s="101" t="s">
        <v>158</v>
      </c>
      <c r="C4" s="99">
        <v>45950</v>
      </c>
      <c r="D4" s="101">
        <v>1397</v>
      </c>
      <c r="E4" s="182">
        <f>'Időbeli elhatárolás analitika'!$O$2*2</f>
        <v>0.125</v>
      </c>
      <c r="F4" s="101"/>
      <c r="G4" s="101"/>
      <c r="H4" s="101"/>
      <c r="I4" s="101"/>
      <c r="J4" s="101"/>
      <c r="K4" s="101"/>
    </row>
    <row r="5" spans="1:11" x14ac:dyDescent="0.25">
      <c r="A5" s="101" t="s">
        <v>311</v>
      </c>
      <c r="B5" s="101" t="s">
        <v>485</v>
      </c>
      <c r="C5" s="99">
        <v>45947</v>
      </c>
      <c r="D5" s="101">
        <v>300000</v>
      </c>
      <c r="E5" s="182">
        <f>'Időbeli elhatárolás analitika'!$O$2*2</f>
        <v>0.125</v>
      </c>
      <c r="F5" s="99">
        <v>45993</v>
      </c>
      <c r="G5" s="120">
        <f>D5*(E5/365*(F5-C5+1))</f>
        <v>4828.767123287671</v>
      </c>
      <c r="H5" s="120">
        <f>G5*0.15</f>
        <v>724.31506849315065</v>
      </c>
      <c r="I5" s="120">
        <f>G5*0.13</f>
        <v>627.7397260273973</v>
      </c>
      <c r="J5" s="120">
        <f>G5+I5+D5</f>
        <v>305456.50684931508</v>
      </c>
      <c r="K5" s="120">
        <f>D5+G5-H5</f>
        <v>304104.45205479453</v>
      </c>
    </row>
  </sheetData>
  <mergeCells count="1">
    <mergeCell ref="A1:K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A69C9-1E8E-4BE6-AC76-ECD773D708A0}">
  <dimension ref="A1:O9"/>
  <sheetViews>
    <sheetView topLeftCell="E1" zoomScale="85" zoomScaleNormal="85" workbookViewId="0">
      <selection activeCell="K6" sqref="K6"/>
    </sheetView>
  </sheetViews>
  <sheetFormatPr defaultRowHeight="15" x14ac:dyDescent="0.25"/>
  <cols>
    <col min="1" max="1" width="25.7109375" customWidth="1"/>
    <col min="2" max="12" width="23" customWidth="1"/>
    <col min="14" max="14" width="18.7109375" customWidth="1"/>
  </cols>
  <sheetData>
    <row r="1" spans="1:15" x14ac:dyDescent="0.25">
      <c r="A1" s="313" t="s">
        <v>319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4"/>
    </row>
    <row r="2" spans="1:15" ht="30" x14ac:dyDescent="0.25">
      <c r="A2" t="s">
        <v>307</v>
      </c>
      <c r="B2" s="118" t="s">
        <v>253</v>
      </c>
      <c r="C2" s="123" t="s">
        <v>257</v>
      </c>
      <c r="D2" s="123" t="s">
        <v>254</v>
      </c>
      <c r="E2" s="124" t="s">
        <v>303</v>
      </c>
      <c r="F2" s="123" t="s">
        <v>316</v>
      </c>
      <c r="G2" s="123" t="s">
        <v>232</v>
      </c>
      <c r="H2" s="123" t="s">
        <v>310</v>
      </c>
      <c r="I2" s="123" t="s">
        <v>306</v>
      </c>
      <c r="J2" s="123" t="s">
        <v>305</v>
      </c>
      <c r="K2" s="123" t="s">
        <v>308</v>
      </c>
      <c r="L2" s="123" t="s">
        <v>309</v>
      </c>
      <c r="N2" s="121" t="s">
        <v>318</v>
      </c>
      <c r="O2" s="122">
        <v>6.25E-2</v>
      </c>
    </row>
    <row r="3" spans="1:15" x14ac:dyDescent="0.25">
      <c r="A3" t="s">
        <v>278</v>
      </c>
      <c r="B3" s="101" t="s">
        <v>226</v>
      </c>
      <c r="C3" s="101" t="s">
        <v>250</v>
      </c>
      <c r="D3" s="101" t="s">
        <v>183</v>
      </c>
      <c r="E3" s="101" t="s">
        <v>304</v>
      </c>
      <c r="F3" s="101" t="s">
        <v>302</v>
      </c>
      <c r="G3" s="99">
        <v>45938</v>
      </c>
      <c r="H3" s="99">
        <v>45939</v>
      </c>
      <c r="I3" s="99">
        <v>45953</v>
      </c>
      <c r="J3" s="99">
        <v>45968</v>
      </c>
      <c r="K3" s="119">
        <v>240000</v>
      </c>
      <c r="L3" s="120">
        <f>(J3-I3+1)/(J3-H3+1)*K3</f>
        <v>128000</v>
      </c>
    </row>
    <row r="4" spans="1:15" x14ac:dyDescent="0.25">
      <c r="A4" t="s">
        <v>278</v>
      </c>
      <c r="B4" s="101" t="s">
        <v>228</v>
      </c>
      <c r="C4" s="101" t="s">
        <v>269</v>
      </c>
      <c r="D4" s="101" t="s">
        <v>227</v>
      </c>
      <c r="E4" s="101" t="s">
        <v>304</v>
      </c>
      <c r="F4" s="101" t="s">
        <v>302</v>
      </c>
      <c r="G4" s="99">
        <v>45943</v>
      </c>
      <c r="H4" s="99">
        <v>45943</v>
      </c>
      <c r="I4" s="99">
        <v>45953</v>
      </c>
      <c r="J4" s="99">
        <v>46307</v>
      </c>
      <c r="K4" s="98">
        <v>120000</v>
      </c>
      <c r="L4" s="120">
        <f t="shared" ref="L4" si="0">(J4-I4+1)/(J4-H4+1)*K4</f>
        <v>116712.32876712328</v>
      </c>
    </row>
    <row r="5" spans="1:15" x14ac:dyDescent="0.25">
      <c r="A5" t="s">
        <v>278</v>
      </c>
      <c r="B5" s="101" t="s">
        <v>311</v>
      </c>
      <c r="C5" s="101" t="s">
        <v>312</v>
      </c>
      <c r="D5" s="101" t="s">
        <v>133</v>
      </c>
      <c r="E5" s="135" t="s">
        <v>314</v>
      </c>
      <c r="F5" s="135" t="s">
        <v>302</v>
      </c>
      <c r="G5" s="99">
        <v>45961</v>
      </c>
      <c r="H5" s="99">
        <v>45933</v>
      </c>
      <c r="I5" s="99">
        <v>45953</v>
      </c>
      <c r="J5" s="99">
        <v>45961</v>
      </c>
      <c r="K5" s="119">
        <f>5414+3076</f>
        <v>8490</v>
      </c>
      <c r="L5" s="120">
        <f>K5-(J5-I5+1)/(J5-H5+1)*K5</f>
        <v>5855.1724137931033</v>
      </c>
    </row>
    <row r="6" spans="1:15" x14ac:dyDescent="0.25">
      <c r="A6" t="s">
        <v>278</v>
      </c>
      <c r="B6" s="101" t="s">
        <v>311</v>
      </c>
      <c r="C6" s="101" t="s">
        <v>313</v>
      </c>
      <c r="D6" s="101" t="s">
        <v>133</v>
      </c>
      <c r="E6" s="101" t="s">
        <v>304</v>
      </c>
      <c r="F6" s="101" t="s">
        <v>28</v>
      </c>
      <c r="G6" s="99">
        <v>45961</v>
      </c>
      <c r="H6" s="99">
        <v>45938</v>
      </c>
      <c r="I6" s="99">
        <v>45953</v>
      </c>
      <c r="J6" s="99">
        <v>45961</v>
      </c>
      <c r="K6" s="101">
        <v>7890</v>
      </c>
      <c r="L6" s="120">
        <f>K6-(J6-I6+1)/(J6-H6+1)*K6</f>
        <v>4931.25</v>
      </c>
    </row>
    <row r="7" spans="1:15" x14ac:dyDescent="0.25">
      <c r="A7" t="s">
        <v>278</v>
      </c>
      <c r="B7" s="101" t="s">
        <v>293</v>
      </c>
      <c r="C7" s="101" t="s">
        <v>294</v>
      </c>
      <c r="D7" s="101" t="s">
        <v>315</v>
      </c>
      <c r="E7" s="101" t="s">
        <v>314</v>
      </c>
      <c r="F7" s="101" t="s">
        <v>317</v>
      </c>
      <c r="G7" s="99">
        <v>45950</v>
      </c>
      <c r="H7" s="99">
        <v>45950</v>
      </c>
      <c r="I7" s="99">
        <v>45953</v>
      </c>
      <c r="J7" s="99">
        <v>45953</v>
      </c>
      <c r="K7" s="101">
        <f>90380*O2*2</f>
        <v>11297.5</v>
      </c>
      <c r="L7" s="120">
        <f>K7*(I7-H7+1)/365</f>
        <v>123.8082191780822</v>
      </c>
      <c r="M7" s="181"/>
    </row>
    <row r="8" spans="1:15" x14ac:dyDescent="0.25">
      <c r="A8" t="s">
        <v>278</v>
      </c>
      <c r="B8" s="101" t="s">
        <v>297</v>
      </c>
      <c r="C8" s="101" t="s">
        <v>294</v>
      </c>
      <c r="D8" s="101" t="s">
        <v>315</v>
      </c>
      <c r="E8" s="101" t="s">
        <v>314</v>
      </c>
      <c r="F8" s="101" t="s">
        <v>317</v>
      </c>
      <c r="G8" s="99">
        <v>45951</v>
      </c>
      <c r="H8" s="99">
        <v>45951</v>
      </c>
      <c r="I8" s="99">
        <v>45953</v>
      </c>
      <c r="J8" s="99">
        <v>45953</v>
      </c>
      <c r="K8" s="101">
        <f>1397*O2*2</f>
        <v>174.625</v>
      </c>
      <c r="L8" s="120">
        <f>K8*(I8-H8+1)/365</f>
        <v>1.4352739726027397</v>
      </c>
      <c r="M8" s="181"/>
    </row>
    <row r="9" spans="1:15" x14ac:dyDescent="0.25">
      <c r="A9" t="s">
        <v>278</v>
      </c>
      <c r="B9" s="101" t="s">
        <v>311</v>
      </c>
      <c r="C9" s="101" t="s">
        <v>294</v>
      </c>
      <c r="D9" s="101" t="s">
        <v>315</v>
      </c>
      <c r="E9" s="101" t="s">
        <v>314</v>
      </c>
      <c r="F9" s="101" t="s">
        <v>317</v>
      </c>
      <c r="G9" s="99">
        <v>45947</v>
      </c>
      <c r="H9" s="99">
        <v>45947</v>
      </c>
      <c r="I9" s="99">
        <v>45953</v>
      </c>
      <c r="J9" s="99">
        <v>45953</v>
      </c>
      <c r="K9" s="101">
        <f>300000*O2*2</f>
        <v>37500</v>
      </c>
      <c r="L9" s="120">
        <f t="shared" ref="L9" si="1">K9*(I9-H9+1)/365</f>
        <v>719.17808219178085</v>
      </c>
      <c r="M9" s="181"/>
    </row>
  </sheetData>
  <mergeCells count="1">
    <mergeCell ref="A1:L1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5942F-972E-455B-B36F-CDFFBB609DA3}">
  <dimension ref="A1:M54"/>
  <sheetViews>
    <sheetView topLeftCell="C46" workbookViewId="0">
      <selection activeCell="D51" sqref="D51:D53"/>
    </sheetView>
  </sheetViews>
  <sheetFormatPr defaultRowHeight="15" x14ac:dyDescent="0.25"/>
  <cols>
    <col min="1" max="12" width="18.7109375" customWidth="1"/>
  </cols>
  <sheetData>
    <row r="1" spans="1:13" ht="16.5" x14ac:dyDescent="0.3">
      <c r="A1" s="101" t="s">
        <v>253</v>
      </c>
      <c r="B1" s="101" t="s">
        <v>793</v>
      </c>
      <c r="C1" s="302" t="s">
        <v>791</v>
      </c>
      <c r="D1" s="302"/>
      <c r="E1" s="302"/>
      <c r="F1" s="200">
        <v>1232</v>
      </c>
      <c r="G1" s="302" t="s">
        <v>794</v>
      </c>
      <c r="H1" s="302"/>
      <c r="I1" s="302"/>
      <c r="J1" s="302"/>
      <c r="K1" s="302"/>
      <c r="L1" s="302"/>
      <c r="M1" s="302" t="s">
        <v>245</v>
      </c>
    </row>
    <row r="2" spans="1:13" x14ac:dyDescent="0.25">
      <c r="A2" s="302" t="s">
        <v>787</v>
      </c>
      <c r="B2" s="302"/>
      <c r="C2" s="302"/>
      <c r="D2" s="302"/>
      <c r="E2" s="302"/>
      <c r="F2" s="302"/>
      <c r="G2" s="302"/>
      <c r="H2" s="302"/>
      <c r="I2" s="302"/>
      <c r="J2" s="302"/>
      <c r="K2" s="302"/>
      <c r="L2" s="302"/>
      <c r="M2" s="302"/>
    </row>
    <row r="3" spans="1:13" x14ac:dyDescent="0.25">
      <c r="A3" s="302" t="s">
        <v>281</v>
      </c>
      <c r="B3" s="302" t="s">
        <v>253</v>
      </c>
      <c r="C3" s="302" t="s">
        <v>282</v>
      </c>
      <c r="D3" s="302" t="s">
        <v>247</v>
      </c>
      <c r="E3" s="302"/>
      <c r="F3" s="302"/>
      <c r="G3" s="302" t="s">
        <v>790</v>
      </c>
      <c r="H3" s="302"/>
      <c r="I3" s="302"/>
      <c r="J3" s="101" t="s">
        <v>792</v>
      </c>
      <c r="K3" s="101"/>
      <c r="L3" s="101"/>
      <c r="M3" s="302"/>
    </row>
    <row r="4" spans="1:13" x14ac:dyDescent="0.25">
      <c r="A4" s="302"/>
      <c r="B4" s="302"/>
      <c r="C4" s="302"/>
      <c r="D4" s="101" t="s">
        <v>788</v>
      </c>
      <c r="E4" s="101" t="s">
        <v>789</v>
      </c>
      <c r="F4" s="101" t="s">
        <v>563</v>
      </c>
      <c r="G4" s="101" t="s">
        <v>788</v>
      </c>
      <c r="H4" s="101" t="s">
        <v>789</v>
      </c>
      <c r="I4" s="101" t="s">
        <v>563</v>
      </c>
      <c r="J4" s="101" t="s">
        <v>788</v>
      </c>
      <c r="K4" s="101" t="s">
        <v>789</v>
      </c>
      <c r="L4" s="101" t="s">
        <v>563</v>
      </c>
      <c r="M4" s="302"/>
    </row>
    <row r="5" spans="1:13" x14ac:dyDescent="0.25">
      <c r="A5" s="99">
        <v>45951</v>
      </c>
      <c r="B5" s="101" t="s">
        <v>500</v>
      </c>
      <c r="C5" s="101" t="s">
        <v>795</v>
      </c>
      <c r="D5" s="101">
        <v>82760</v>
      </c>
      <c r="E5" s="101"/>
      <c r="F5" s="101">
        <f>D5-E5</f>
        <v>82760</v>
      </c>
      <c r="G5" s="101"/>
      <c r="H5" s="101"/>
      <c r="I5" s="101">
        <f>G5-H5</f>
        <v>0</v>
      </c>
      <c r="J5" s="101"/>
      <c r="K5" s="101"/>
      <c r="L5" s="101">
        <f>J5-K5</f>
        <v>0</v>
      </c>
      <c r="M5" s="101">
        <f>F5-I5-L5</f>
        <v>82760</v>
      </c>
    </row>
    <row r="6" spans="1:13" ht="13.5" customHeight="1" x14ac:dyDescent="0.25">
      <c r="A6" s="99">
        <v>45951</v>
      </c>
      <c r="B6" s="101" t="s">
        <v>501</v>
      </c>
      <c r="C6" s="101" t="s">
        <v>665</v>
      </c>
      <c r="D6" s="101"/>
      <c r="E6" s="101"/>
      <c r="F6" s="101">
        <f>F5+D6-E6</f>
        <v>82760</v>
      </c>
      <c r="G6" s="101">
        <v>82760</v>
      </c>
      <c r="H6" s="101"/>
      <c r="I6" s="101">
        <f>I5+G6-H6</f>
        <v>82760</v>
      </c>
      <c r="J6" s="101"/>
      <c r="K6" s="101"/>
      <c r="L6" s="101">
        <f>L5+J6-K6</f>
        <v>0</v>
      </c>
      <c r="M6" s="101">
        <f>F6-I6-L6</f>
        <v>0</v>
      </c>
    </row>
    <row r="7" spans="1:13" ht="13.5" customHeight="1" x14ac:dyDescent="0.25">
      <c r="A7" s="175"/>
    </row>
    <row r="8" spans="1:13" ht="13.5" customHeight="1" x14ac:dyDescent="0.25">
      <c r="A8" s="175"/>
    </row>
    <row r="9" spans="1:13" ht="13.5" customHeight="1" x14ac:dyDescent="0.25">
      <c r="A9" s="175"/>
    </row>
    <row r="10" spans="1:13" ht="13.5" customHeight="1" x14ac:dyDescent="0.25">
      <c r="A10" s="175"/>
    </row>
    <row r="11" spans="1:13" ht="13.5" customHeight="1" x14ac:dyDescent="0.25">
      <c r="A11" s="175"/>
    </row>
    <row r="12" spans="1:13" ht="13.5" customHeight="1" x14ac:dyDescent="0.25">
      <c r="A12" s="175"/>
    </row>
    <row r="13" spans="1:13" ht="13.5" customHeight="1" x14ac:dyDescent="0.25">
      <c r="A13" s="175"/>
    </row>
    <row r="14" spans="1:13" ht="13.5" customHeight="1" x14ac:dyDescent="0.25">
      <c r="A14" s="175"/>
    </row>
    <row r="15" spans="1:13" ht="13.5" customHeight="1" x14ac:dyDescent="0.25">
      <c r="A15" s="175"/>
    </row>
    <row r="19" spans="1:13" ht="16.5" x14ac:dyDescent="0.3">
      <c r="A19" s="101" t="s">
        <v>253</v>
      </c>
      <c r="B19" t="s">
        <v>325</v>
      </c>
      <c r="C19" s="302" t="s">
        <v>791</v>
      </c>
      <c r="D19" s="302"/>
      <c r="E19" s="302"/>
      <c r="F19" s="200">
        <v>1231</v>
      </c>
      <c r="G19" s="302" t="s">
        <v>797</v>
      </c>
      <c r="H19" s="302"/>
      <c r="I19" s="302"/>
      <c r="J19" s="302"/>
      <c r="K19" s="302"/>
      <c r="L19" s="302"/>
      <c r="M19" s="302" t="s">
        <v>245</v>
      </c>
    </row>
    <row r="20" spans="1:13" x14ac:dyDescent="0.25">
      <c r="A20" s="302" t="s">
        <v>787</v>
      </c>
      <c r="B20" s="302"/>
      <c r="C20" s="302"/>
      <c r="D20" s="302"/>
      <c r="E20" s="302"/>
      <c r="F20" s="302"/>
      <c r="G20" s="302"/>
      <c r="H20" s="302"/>
      <c r="I20" s="302"/>
      <c r="J20" s="302"/>
      <c r="K20" s="302"/>
      <c r="L20" s="302"/>
      <c r="M20" s="302"/>
    </row>
    <row r="21" spans="1:13" x14ac:dyDescent="0.25">
      <c r="A21" s="302" t="s">
        <v>281</v>
      </c>
      <c r="B21" s="302" t="s">
        <v>253</v>
      </c>
      <c r="C21" s="302" t="s">
        <v>282</v>
      </c>
      <c r="D21" s="302" t="s">
        <v>247</v>
      </c>
      <c r="E21" s="302"/>
      <c r="F21" s="302"/>
      <c r="G21" s="302" t="s">
        <v>790</v>
      </c>
      <c r="H21" s="302"/>
      <c r="I21" s="302"/>
      <c r="J21" s="101" t="s">
        <v>792</v>
      </c>
      <c r="K21" s="101"/>
      <c r="L21" s="101"/>
      <c r="M21" s="302"/>
    </row>
    <row r="22" spans="1:13" x14ac:dyDescent="0.25">
      <c r="A22" s="302"/>
      <c r="B22" s="302"/>
      <c r="C22" s="302"/>
      <c r="D22" s="101" t="s">
        <v>788</v>
      </c>
      <c r="E22" s="101" t="s">
        <v>789</v>
      </c>
      <c r="F22" s="101" t="s">
        <v>563</v>
      </c>
      <c r="G22" s="101" t="s">
        <v>788</v>
      </c>
      <c r="H22" s="101" t="s">
        <v>789</v>
      </c>
      <c r="I22" s="101" t="s">
        <v>563</v>
      </c>
      <c r="J22" s="101" t="s">
        <v>788</v>
      </c>
      <c r="K22" s="101" t="s">
        <v>789</v>
      </c>
      <c r="L22" s="101" t="s">
        <v>563</v>
      </c>
      <c r="M22" s="302"/>
    </row>
    <row r="23" spans="1:13" x14ac:dyDescent="0.25">
      <c r="A23" s="99">
        <v>45975</v>
      </c>
      <c r="B23" s="101" t="s">
        <v>796</v>
      </c>
      <c r="C23" s="101" t="s">
        <v>795</v>
      </c>
      <c r="D23" s="101">
        <f>307721/1.27+28702/1.27</f>
        <v>264900</v>
      </c>
      <c r="E23" s="101"/>
      <c r="F23" s="101">
        <f>D23-E23</f>
        <v>264900</v>
      </c>
      <c r="G23" s="101"/>
      <c r="H23" s="101"/>
      <c r="I23" s="101">
        <f>G23-H23</f>
        <v>0</v>
      </c>
      <c r="J23" s="101"/>
      <c r="K23" s="101"/>
      <c r="L23" s="101">
        <f>J23-K23</f>
        <v>0</v>
      </c>
      <c r="M23" s="101">
        <f>F23-I23-L23</f>
        <v>264900</v>
      </c>
    </row>
    <row r="24" spans="1:13" x14ac:dyDescent="0.25">
      <c r="A24" s="99"/>
      <c r="B24" s="101"/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</row>
    <row r="25" spans="1:13" x14ac:dyDescent="0.25">
      <c r="A25" s="175"/>
    </row>
    <row r="26" spans="1:13" x14ac:dyDescent="0.25">
      <c r="A26" s="175"/>
    </row>
    <row r="27" spans="1:13" x14ac:dyDescent="0.25">
      <c r="A27" s="175"/>
    </row>
    <row r="28" spans="1:13" x14ac:dyDescent="0.25">
      <c r="A28" s="175"/>
    </row>
    <row r="33" spans="1:13" ht="16.5" x14ac:dyDescent="0.3">
      <c r="A33" s="101" t="s">
        <v>253</v>
      </c>
      <c r="B33" t="s">
        <v>325</v>
      </c>
      <c r="C33" s="302" t="s">
        <v>791</v>
      </c>
      <c r="D33" s="302"/>
      <c r="E33" s="302"/>
      <c r="F33" s="200">
        <v>1231</v>
      </c>
      <c r="G33" s="302" t="s">
        <v>801</v>
      </c>
      <c r="H33" s="302"/>
      <c r="I33" s="302"/>
      <c r="J33" s="302"/>
      <c r="K33" s="302"/>
      <c r="L33" s="302"/>
      <c r="M33" s="302" t="s">
        <v>245</v>
      </c>
    </row>
    <row r="34" spans="1:13" x14ac:dyDescent="0.25">
      <c r="A34" s="302" t="s">
        <v>787</v>
      </c>
      <c r="B34" s="302"/>
      <c r="C34" s="302"/>
      <c r="D34" s="302"/>
      <c r="E34" s="302"/>
      <c r="F34" s="302"/>
      <c r="G34" s="302"/>
      <c r="H34" s="302"/>
      <c r="I34" s="302"/>
      <c r="J34" s="302"/>
      <c r="K34" s="302"/>
      <c r="L34" s="302"/>
      <c r="M34" s="302"/>
    </row>
    <row r="35" spans="1:13" x14ac:dyDescent="0.25">
      <c r="A35" s="302" t="s">
        <v>281</v>
      </c>
      <c r="B35" s="302" t="s">
        <v>253</v>
      </c>
      <c r="C35" s="302" t="s">
        <v>282</v>
      </c>
      <c r="D35" s="302" t="s">
        <v>247</v>
      </c>
      <c r="E35" s="302"/>
      <c r="F35" s="302"/>
      <c r="G35" s="302" t="s">
        <v>790</v>
      </c>
      <c r="H35" s="302"/>
      <c r="I35" s="302"/>
      <c r="J35" s="101" t="s">
        <v>792</v>
      </c>
      <c r="K35" s="101"/>
      <c r="L35" s="101"/>
      <c r="M35" s="302"/>
    </row>
    <row r="36" spans="1:13" x14ac:dyDescent="0.25">
      <c r="A36" s="302"/>
      <c r="B36" s="302"/>
      <c r="C36" s="302"/>
      <c r="D36" s="101" t="s">
        <v>788</v>
      </c>
      <c r="E36" s="101" t="s">
        <v>789</v>
      </c>
      <c r="F36" s="101" t="s">
        <v>563</v>
      </c>
      <c r="G36" s="101" t="s">
        <v>788</v>
      </c>
      <c r="H36" s="101" t="s">
        <v>789</v>
      </c>
      <c r="I36" s="101" t="s">
        <v>563</v>
      </c>
      <c r="J36" s="101" t="s">
        <v>788</v>
      </c>
      <c r="K36" s="101" t="s">
        <v>789</v>
      </c>
      <c r="L36" s="101" t="s">
        <v>563</v>
      </c>
      <c r="M36" s="302"/>
    </row>
    <row r="37" spans="1:13" x14ac:dyDescent="0.25">
      <c r="A37" s="99">
        <v>45975</v>
      </c>
      <c r="B37" s="101" t="s">
        <v>798</v>
      </c>
      <c r="C37" s="101" t="s">
        <v>795</v>
      </c>
      <c r="D37" s="101">
        <f>71501/1.27</f>
        <v>56300</v>
      </c>
      <c r="E37" s="101"/>
      <c r="F37" s="101">
        <f>D37-E37</f>
        <v>56300</v>
      </c>
      <c r="G37" s="101"/>
      <c r="H37" s="101"/>
      <c r="I37" s="101">
        <f>G37-H37</f>
        <v>0</v>
      </c>
      <c r="J37" s="101"/>
      <c r="K37" s="101"/>
      <c r="L37" s="101">
        <f>J37-K37</f>
        <v>0</v>
      </c>
      <c r="M37" s="101">
        <f>F37-I37-L37</f>
        <v>56300</v>
      </c>
    </row>
    <row r="38" spans="1:13" x14ac:dyDescent="0.25">
      <c r="A38" s="99">
        <v>45975</v>
      </c>
      <c r="B38" s="101" t="s">
        <v>799</v>
      </c>
      <c r="C38" s="101" t="s">
        <v>665</v>
      </c>
      <c r="D38" s="101"/>
      <c r="E38" s="101"/>
      <c r="F38" s="101">
        <f>F37+D38-E38</f>
        <v>56300</v>
      </c>
      <c r="G38" s="101">
        <v>56300</v>
      </c>
      <c r="H38" s="101"/>
      <c r="I38" s="101">
        <f>I37+G38-H38</f>
        <v>56300</v>
      </c>
      <c r="J38" s="101"/>
      <c r="K38" s="101"/>
      <c r="L38" s="101">
        <f>L37+J38-K38</f>
        <v>0</v>
      </c>
      <c r="M38" s="101">
        <f>F38-I38-L38</f>
        <v>0</v>
      </c>
    </row>
    <row r="47" spans="1:13" ht="16.5" x14ac:dyDescent="0.3">
      <c r="A47" s="101" t="s">
        <v>253</v>
      </c>
      <c r="B47" t="s">
        <v>411</v>
      </c>
      <c r="C47" s="302" t="s">
        <v>791</v>
      </c>
      <c r="D47" s="302"/>
      <c r="E47" s="302"/>
      <c r="F47" s="200">
        <v>1221</v>
      </c>
      <c r="G47" s="302" t="s">
        <v>801</v>
      </c>
      <c r="H47" s="302"/>
      <c r="I47" s="302"/>
      <c r="J47" s="302"/>
      <c r="K47" s="302"/>
      <c r="L47" s="302"/>
      <c r="M47" s="302" t="s">
        <v>245</v>
      </c>
    </row>
    <row r="48" spans="1:13" x14ac:dyDescent="0.25">
      <c r="A48" s="302" t="s">
        <v>787</v>
      </c>
      <c r="B48" s="302"/>
      <c r="C48" s="302"/>
      <c r="D48" s="302"/>
      <c r="E48" s="302"/>
      <c r="F48" s="302"/>
      <c r="G48" s="302"/>
      <c r="H48" s="302"/>
      <c r="I48" s="302"/>
      <c r="J48" s="302"/>
      <c r="K48" s="302"/>
      <c r="L48" s="302"/>
      <c r="M48" s="302"/>
    </row>
    <row r="49" spans="1:13" x14ac:dyDescent="0.25">
      <c r="A49" s="302" t="s">
        <v>281</v>
      </c>
      <c r="B49" s="302" t="s">
        <v>253</v>
      </c>
      <c r="C49" s="302" t="s">
        <v>282</v>
      </c>
      <c r="D49" s="302" t="s">
        <v>247</v>
      </c>
      <c r="E49" s="302"/>
      <c r="F49" s="302"/>
      <c r="G49" s="302" t="s">
        <v>790</v>
      </c>
      <c r="H49" s="302"/>
      <c r="I49" s="302"/>
      <c r="J49" s="101" t="s">
        <v>792</v>
      </c>
      <c r="K49" s="101"/>
      <c r="L49" s="101"/>
      <c r="M49" s="302"/>
    </row>
    <row r="50" spans="1:13" x14ac:dyDescent="0.25">
      <c r="A50" s="302"/>
      <c r="B50" s="302"/>
      <c r="C50" s="302"/>
      <c r="D50" s="101" t="s">
        <v>788</v>
      </c>
      <c r="E50" s="101" t="s">
        <v>789</v>
      </c>
      <c r="F50" s="101" t="s">
        <v>563</v>
      </c>
      <c r="G50" s="101" t="s">
        <v>788</v>
      </c>
      <c r="H50" s="101" t="s">
        <v>789</v>
      </c>
      <c r="I50" s="101" t="s">
        <v>563</v>
      </c>
      <c r="J50" s="101" t="s">
        <v>788</v>
      </c>
      <c r="K50" s="101" t="s">
        <v>789</v>
      </c>
      <c r="L50" s="101" t="s">
        <v>563</v>
      </c>
      <c r="M50" s="302"/>
    </row>
    <row r="51" spans="1:13" x14ac:dyDescent="0.25">
      <c r="A51" s="99">
        <v>45975</v>
      </c>
      <c r="B51" s="101" t="s">
        <v>800</v>
      </c>
      <c r="C51" s="101" t="s">
        <v>795</v>
      </c>
      <c r="D51" s="101">
        <f>1778000+22000</f>
        <v>1800000</v>
      </c>
      <c r="E51" s="101"/>
      <c r="F51" s="101">
        <f>D51-E51</f>
        <v>1800000</v>
      </c>
      <c r="G51" s="101"/>
      <c r="H51" s="101"/>
      <c r="I51" s="101">
        <f>G51-H51</f>
        <v>0</v>
      </c>
      <c r="J51" s="101"/>
      <c r="K51" s="101"/>
      <c r="L51" s="101">
        <f>J51-K51</f>
        <v>0</v>
      </c>
      <c r="M51" s="101">
        <f>F51-I51-L51</f>
        <v>1800000</v>
      </c>
    </row>
    <row r="52" spans="1:13" x14ac:dyDescent="0.25">
      <c r="A52" s="99">
        <v>45996</v>
      </c>
      <c r="B52" s="101" t="s">
        <v>802</v>
      </c>
      <c r="C52" s="101" t="s">
        <v>803</v>
      </c>
      <c r="D52" s="101">
        <f>382.08*450</f>
        <v>171936</v>
      </c>
      <c r="E52" s="101"/>
      <c r="F52" s="101">
        <f>F51+D52-E52</f>
        <v>1971936</v>
      </c>
      <c r="G52" s="101"/>
      <c r="H52" s="101"/>
      <c r="I52" s="101">
        <f>G52-H52</f>
        <v>0</v>
      </c>
      <c r="J52" s="101"/>
      <c r="K52" s="101"/>
      <c r="L52" s="101">
        <f>J52-K52</f>
        <v>0</v>
      </c>
      <c r="M52" s="101">
        <f>F52-I52-L52</f>
        <v>1971936</v>
      </c>
    </row>
    <row r="53" spans="1:13" x14ac:dyDescent="0.25">
      <c r="A53" s="175">
        <v>46006</v>
      </c>
      <c r="B53" s="100" t="s">
        <v>804</v>
      </c>
      <c r="C53" s="101" t="s">
        <v>803</v>
      </c>
      <c r="D53">
        <v>101600</v>
      </c>
      <c r="F53" s="101">
        <f>F52+D53-E53</f>
        <v>2073536</v>
      </c>
      <c r="I53" s="101">
        <f>G53-H53</f>
        <v>0</v>
      </c>
      <c r="J53" s="101"/>
      <c r="K53" s="101"/>
      <c r="L53" s="101">
        <f>J53-K53</f>
        <v>0</v>
      </c>
      <c r="M53" s="101">
        <f>F53-I53-L53</f>
        <v>2073536</v>
      </c>
    </row>
    <row r="54" spans="1:13" x14ac:dyDescent="0.25">
      <c r="A54" s="175">
        <v>46009</v>
      </c>
      <c r="B54" s="100" t="s">
        <v>805</v>
      </c>
      <c r="C54" s="100" t="s">
        <v>806</v>
      </c>
      <c r="F54" s="101">
        <f>F53+D54-E54</f>
        <v>2073536</v>
      </c>
      <c r="I54" s="101">
        <f>G54-H54</f>
        <v>0</v>
      </c>
      <c r="J54" s="101">
        <f>F54-1600000</f>
        <v>473536</v>
      </c>
      <c r="K54" s="101"/>
      <c r="L54" s="101">
        <f>J54-K54</f>
        <v>473536</v>
      </c>
      <c r="M54" s="101">
        <f>F54-I54-L54</f>
        <v>1600000</v>
      </c>
    </row>
  </sheetData>
  <mergeCells count="36">
    <mergeCell ref="C47:E47"/>
    <mergeCell ref="G47:L48"/>
    <mergeCell ref="M47:M50"/>
    <mergeCell ref="A48:F48"/>
    <mergeCell ref="A49:A50"/>
    <mergeCell ref="B49:B50"/>
    <mergeCell ref="C49:C50"/>
    <mergeCell ref="D49:F49"/>
    <mergeCell ref="G49:I49"/>
    <mergeCell ref="A2:F2"/>
    <mergeCell ref="G3:I3"/>
    <mergeCell ref="C33:E33"/>
    <mergeCell ref="G33:L34"/>
    <mergeCell ref="M33:M36"/>
    <mergeCell ref="A34:F34"/>
    <mergeCell ref="A35:A36"/>
    <mergeCell ref="B35:B36"/>
    <mergeCell ref="C35:C36"/>
    <mergeCell ref="D35:F35"/>
    <mergeCell ref="G35:I35"/>
    <mergeCell ref="G1:L2"/>
    <mergeCell ref="C1:E1"/>
    <mergeCell ref="M1:M4"/>
    <mergeCell ref="C19:E19"/>
    <mergeCell ref="G19:L20"/>
    <mergeCell ref="A3:A4"/>
    <mergeCell ref="B3:B4"/>
    <mergeCell ref="C3:C4"/>
    <mergeCell ref="D3:F3"/>
    <mergeCell ref="M19:M22"/>
    <mergeCell ref="A20:F20"/>
    <mergeCell ref="A21:A22"/>
    <mergeCell ref="B21:B22"/>
    <mergeCell ref="C21:C22"/>
    <mergeCell ref="D21:F21"/>
    <mergeCell ref="G21:I2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1A44F-CE9D-440B-A8E5-7BB102C4C861}">
  <dimension ref="A1:H8"/>
  <sheetViews>
    <sheetView workbookViewId="0">
      <selection activeCell="B3" sqref="B3:B6"/>
    </sheetView>
  </sheetViews>
  <sheetFormatPr defaultRowHeight="15" x14ac:dyDescent="0.25"/>
  <cols>
    <col min="1" max="8" width="19.28515625" customWidth="1"/>
  </cols>
  <sheetData>
    <row r="1" spans="1:8" x14ac:dyDescent="0.25">
      <c r="A1" s="315" t="s">
        <v>497</v>
      </c>
      <c r="B1" s="315"/>
      <c r="C1" s="315"/>
      <c r="D1" s="315"/>
      <c r="E1" s="315"/>
      <c r="F1" s="315"/>
      <c r="G1" s="315"/>
      <c r="H1" s="315"/>
    </row>
    <row r="2" spans="1:8" x14ac:dyDescent="0.25">
      <c r="A2" s="167" t="s">
        <v>488</v>
      </c>
      <c r="B2" s="167" t="s">
        <v>489</v>
      </c>
      <c r="C2" s="167" t="s">
        <v>490</v>
      </c>
      <c r="D2" s="167" t="s">
        <v>491</v>
      </c>
      <c r="E2" s="167" t="s">
        <v>492</v>
      </c>
      <c r="F2" s="167" t="s">
        <v>493</v>
      </c>
      <c r="G2" s="167" t="s">
        <v>495</v>
      </c>
      <c r="H2" s="167" t="s">
        <v>496</v>
      </c>
    </row>
    <row r="3" spans="1:8" x14ac:dyDescent="0.25">
      <c r="A3" s="101" t="s">
        <v>494</v>
      </c>
      <c r="B3" s="101" t="s">
        <v>158</v>
      </c>
      <c r="C3" s="101">
        <v>200000</v>
      </c>
      <c r="D3" s="101">
        <f>$C$3*0.15</f>
        <v>30000</v>
      </c>
      <c r="E3" s="101">
        <f>$C$3*0.185</f>
        <v>37000</v>
      </c>
      <c r="F3" s="101">
        <f>$C$3*0.13</f>
        <v>26000</v>
      </c>
      <c r="G3" s="101">
        <f>C3-D3-E3</f>
        <v>133000</v>
      </c>
      <c r="H3" s="101">
        <f>C3+F3</f>
        <v>226000</v>
      </c>
    </row>
    <row r="4" spans="1:8" x14ac:dyDescent="0.25">
      <c r="A4" s="101" t="s">
        <v>494</v>
      </c>
      <c r="B4" s="101" t="s">
        <v>485</v>
      </c>
      <c r="C4" s="101">
        <f>150000</f>
        <v>150000</v>
      </c>
      <c r="D4" s="101">
        <f>$C4*0.15</f>
        <v>22500</v>
      </c>
      <c r="E4" s="101">
        <f>$C4*0.185</f>
        <v>27750</v>
      </c>
      <c r="F4" s="101">
        <f>$C4*0.13</f>
        <v>19500</v>
      </c>
      <c r="G4" s="101">
        <f t="shared" ref="G4:G6" si="0">C4-D4-E4</f>
        <v>99750</v>
      </c>
      <c r="H4" s="101">
        <f t="shared" ref="H4:H6" si="1">C4+F4</f>
        <v>169500</v>
      </c>
    </row>
    <row r="5" spans="1:8" x14ac:dyDescent="0.25">
      <c r="A5" s="101" t="s">
        <v>494</v>
      </c>
      <c r="B5" s="101" t="s">
        <v>165</v>
      </c>
      <c r="C5" s="101">
        <v>150000</v>
      </c>
      <c r="D5" s="101">
        <f t="shared" ref="D5:D6" si="2">$C5*0.15</f>
        <v>22500</v>
      </c>
      <c r="E5" s="101">
        <f t="shared" ref="E5:E6" si="3">$C5*0.185</f>
        <v>27750</v>
      </c>
      <c r="F5" s="101">
        <f t="shared" ref="F5:F6" si="4">$C5*0.13</f>
        <v>19500</v>
      </c>
      <c r="G5" s="101">
        <f t="shared" si="0"/>
        <v>99750</v>
      </c>
      <c r="H5" s="101">
        <f t="shared" si="1"/>
        <v>169500</v>
      </c>
    </row>
    <row r="6" spans="1:8" x14ac:dyDescent="0.25">
      <c r="A6" s="101" t="s">
        <v>494</v>
      </c>
      <c r="B6" s="101" t="s">
        <v>117</v>
      </c>
      <c r="C6" s="101">
        <v>150000</v>
      </c>
      <c r="D6" s="101">
        <f t="shared" si="2"/>
        <v>22500</v>
      </c>
      <c r="E6" s="101">
        <f t="shared" si="3"/>
        <v>27750</v>
      </c>
      <c r="F6" s="101">
        <f t="shared" si="4"/>
        <v>19500</v>
      </c>
      <c r="G6" s="101">
        <f t="shared" si="0"/>
        <v>99750</v>
      </c>
      <c r="H6" s="101">
        <f t="shared" si="1"/>
        <v>169500</v>
      </c>
    </row>
    <row r="8" spans="1:8" x14ac:dyDescent="0.25">
      <c r="D8">
        <f>SUM(D3:D6)</f>
        <v>97500</v>
      </c>
      <c r="E8">
        <f t="shared" ref="E8:F8" si="5">SUM(E3:E6)</f>
        <v>120250</v>
      </c>
      <c r="F8">
        <f t="shared" si="5"/>
        <v>84500</v>
      </c>
    </row>
  </sheetData>
  <mergeCells count="1">
    <mergeCell ref="A1:H1"/>
  </mergeCells>
  <phoneticPr fontId="18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8B40A-A33C-435B-BC52-B87F0A7876BD}">
  <dimension ref="A1:K69"/>
  <sheetViews>
    <sheetView topLeftCell="D1" workbookViewId="0">
      <selection activeCell="E12" sqref="E12:F12"/>
    </sheetView>
  </sheetViews>
  <sheetFormatPr defaultColWidth="0" defaultRowHeight="15" customHeight="1" zeroHeight="1" x14ac:dyDescent="0.25"/>
  <cols>
    <col min="1" max="1" width="6.85546875" customWidth="1"/>
    <col min="2" max="3" width="3.5703125" customWidth="1"/>
    <col min="4" max="4" width="35.85546875" customWidth="1"/>
    <col min="5" max="5" width="9.140625" customWidth="1"/>
    <col min="6" max="6" width="10.28515625" customWidth="1"/>
    <col min="7" max="7" width="12.85546875" customWidth="1"/>
    <col min="8" max="9" width="17.7109375" customWidth="1"/>
    <col min="10" max="10" width="3.5703125" customWidth="1"/>
    <col min="11" max="11" width="8.85546875" customWidth="1"/>
    <col min="12" max="16384" width="8.85546875" hidden="1"/>
  </cols>
  <sheetData>
    <row r="1" spans="1:11" ht="27.6" customHeight="1" x14ac:dyDescent="0.3">
      <c r="A1" s="136"/>
      <c r="B1" s="137"/>
      <c r="C1" s="201">
        <v>2565</v>
      </c>
      <c r="D1" s="201"/>
      <c r="E1" s="201"/>
      <c r="F1" s="202" t="s">
        <v>329</v>
      </c>
      <c r="G1" s="202"/>
      <c r="H1" s="202"/>
      <c r="I1" s="202"/>
      <c r="J1" s="136"/>
      <c r="K1" s="136"/>
    </row>
    <row r="2" spans="1:11" x14ac:dyDescent="0.25">
      <c r="A2" s="136"/>
      <c r="B2" s="136"/>
      <c r="C2" s="136"/>
      <c r="D2" s="138"/>
      <c r="E2" s="138"/>
      <c r="F2" s="136"/>
      <c r="G2" s="136"/>
      <c r="H2" s="136"/>
      <c r="I2" s="136"/>
      <c r="J2" s="136"/>
      <c r="K2" s="136"/>
    </row>
    <row r="3" spans="1:11" x14ac:dyDescent="0.25">
      <c r="A3" s="136"/>
      <c r="B3" s="203" t="s">
        <v>330</v>
      </c>
      <c r="C3" s="203"/>
      <c r="D3" s="203"/>
      <c r="E3" s="203"/>
      <c r="F3" s="203"/>
      <c r="G3" s="203"/>
      <c r="H3" s="203"/>
      <c r="I3" s="203"/>
      <c r="J3" s="203"/>
      <c r="K3" s="136"/>
    </row>
    <row r="4" spans="1:11" x14ac:dyDescent="0.25">
      <c r="A4" s="136"/>
      <c r="B4" s="139"/>
      <c r="C4" s="136"/>
      <c r="D4" s="140"/>
      <c r="E4" s="140"/>
      <c r="F4" s="140"/>
      <c r="G4" s="140"/>
      <c r="H4" s="140"/>
      <c r="I4" s="140"/>
      <c r="J4" s="141"/>
      <c r="K4" s="136"/>
    </row>
    <row r="5" spans="1:11" x14ac:dyDescent="0.25">
      <c r="A5" s="136"/>
      <c r="B5" s="142"/>
      <c r="C5" s="136" t="s">
        <v>331</v>
      </c>
      <c r="D5" s="141"/>
      <c r="E5" s="209" t="s">
        <v>396</v>
      </c>
      <c r="F5" s="210"/>
      <c r="G5" s="211"/>
      <c r="H5" s="136"/>
      <c r="I5" s="136"/>
      <c r="J5" s="141"/>
      <c r="K5" s="136"/>
    </row>
    <row r="6" spans="1:11" x14ac:dyDescent="0.25">
      <c r="A6" s="136"/>
      <c r="B6" s="142"/>
      <c r="C6" s="136"/>
      <c r="D6" s="136"/>
      <c r="E6" s="136"/>
      <c r="F6" s="136"/>
      <c r="G6" s="136"/>
      <c r="H6" s="136"/>
      <c r="I6" s="143"/>
      <c r="J6" s="141"/>
      <c r="K6" s="136"/>
    </row>
    <row r="7" spans="1:11" x14ac:dyDescent="0.25">
      <c r="A7" s="136"/>
      <c r="B7" s="142"/>
      <c r="C7" s="136" t="s">
        <v>332</v>
      </c>
      <c r="D7" s="141"/>
      <c r="E7" s="209" t="s">
        <v>126</v>
      </c>
      <c r="F7" s="210"/>
      <c r="G7" s="210"/>
      <c r="H7" s="210"/>
      <c r="I7" s="211"/>
      <c r="J7" s="141"/>
      <c r="K7" s="136"/>
    </row>
    <row r="8" spans="1:11" x14ac:dyDescent="0.25">
      <c r="A8" s="136"/>
      <c r="B8" s="142"/>
      <c r="C8" s="136"/>
      <c r="D8" s="136"/>
      <c r="E8" s="136"/>
      <c r="F8" s="136"/>
      <c r="G8" s="136"/>
      <c r="H8" s="136"/>
      <c r="I8" s="144"/>
      <c r="J8" s="141"/>
      <c r="K8" s="136"/>
    </row>
    <row r="9" spans="1:11" x14ac:dyDescent="0.25">
      <c r="A9" s="136"/>
      <c r="B9" s="142"/>
      <c r="C9" s="136" t="s">
        <v>333</v>
      </c>
      <c r="D9" s="141"/>
      <c r="E9" s="209" t="s">
        <v>117</v>
      </c>
      <c r="F9" s="211"/>
      <c r="G9" s="136"/>
      <c r="H9" s="136" t="s">
        <v>334</v>
      </c>
      <c r="I9" s="170" t="s">
        <v>397</v>
      </c>
      <c r="J9" s="141"/>
      <c r="K9" s="136"/>
    </row>
    <row r="10" spans="1:11" x14ac:dyDescent="0.25">
      <c r="A10" s="136"/>
      <c r="B10" s="142"/>
      <c r="C10" s="136"/>
      <c r="D10" s="136"/>
      <c r="E10" s="136"/>
      <c r="F10" s="136"/>
      <c r="G10" s="136"/>
      <c r="H10" s="136"/>
      <c r="I10" s="145"/>
      <c r="J10" s="141"/>
      <c r="K10" s="136"/>
    </row>
    <row r="11" spans="1:11" x14ac:dyDescent="0.25">
      <c r="A11" s="136"/>
      <c r="B11" s="142"/>
      <c r="C11" s="136" t="s">
        <v>335</v>
      </c>
      <c r="D11" s="136"/>
      <c r="E11" s="136" t="s">
        <v>336</v>
      </c>
      <c r="F11" s="136"/>
      <c r="G11" s="136"/>
      <c r="H11" s="136" t="s">
        <v>337</v>
      </c>
      <c r="I11" s="136"/>
      <c r="J11" s="141"/>
      <c r="K11" s="136"/>
    </row>
    <row r="12" spans="1:11" x14ac:dyDescent="0.25">
      <c r="A12" s="136"/>
      <c r="B12" s="142"/>
      <c r="C12" s="136"/>
      <c r="D12" s="136"/>
      <c r="E12" s="318">
        <v>45933</v>
      </c>
      <c r="F12" s="319"/>
      <c r="G12" s="136"/>
      <c r="H12" s="146">
        <v>45952</v>
      </c>
      <c r="I12" s="136"/>
      <c r="J12" s="141"/>
      <c r="K12" s="136"/>
    </row>
    <row r="13" spans="1:11" x14ac:dyDescent="0.25">
      <c r="A13" s="136"/>
      <c r="B13" s="142"/>
      <c r="C13" s="136"/>
      <c r="D13" s="136"/>
      <c r="E13" s="136"/>
      <c r="F13" s="136"/>
      <c r="G13" s="136"/>
      <c r="H13" s="136"/>
      <c r="I13" s="136"/>
      <c r="J13" s="141"/>
      <c r="K13" s="136"/>
    </row>
    <row r="14" spans="1:11" x14ac:dyDescent="0.25">
      <c r="A14" s="136"/>
      <c r="B14" s="142"/>
      <c r="C14" s="136" t="s">
        <v>338</v>
      </c>
      <c r="D14" s="136"/>
      <c r="E14" s="136"/>
      <c r="F14" s="136"/>
      <c r="G14" s="136"/>
      <c r="H14" s="136"/>
      <c r="I14" s="136"/>
      <c r="J14" s="141"/>
      <c r="K14" s="136"/>
    </row>
    <row r="15" spans="1:11" x14ac:dyDescent="0.25">
      <c r="A15" s="136"/>
      <c r="B15" s="142"/>
      <c r="C15" s="136"/>
      <c r="D15" s="136"/>
      <c r="E15" s="209" t="s">
        <v>180</v>
      </c>
      <c r="F15" s="210"/>
      <c r="G15" s="210" t="s">
        <v>180</v>
      </c>
      <c r="H15" s="211"/>
      <c r="I15" s="136"/>
      <c r="J15" s="141"/>
      <c r="K15" s="136"/>
    </row>
    <row r="16" spans="1:11" x14ac:dyDescent="0.25">
      <c r="A16" s="136"/>
      <c r="B16" s="142"/>
      <c r="C16" s="136"/>
      <c r="D16" s="136"/>
      <c r="E16" s="136"/>
      <c r="F16" s="136"/>
      <c r="G16" s="136"/>
      <c r="H16" s="136"/>
      <c r="I16" s="136"/>
      <c r="J16" s="141"/>
      <c r="K16" s="136"/>
    </row>
    <row r="17" spans="1:11" x14ac:dyDescent="0.25">
      <c r="A17" s="136"/>
      <c r="B17" s="142"/>
      <c r="C17" s="136" t="s">
        <v>339</v>
      </c>
      <c r="D17" s="136"/>
      <c r="E17" s="136"/>
      <c r="F17" s="136"/>
      <c r="G17" s="136"/>
      <c r="H17" s="136"/>
      <c r="I17" s="136"/>
      <c r="J17" s="141"/>
      <c r="K17" s="136"/>
    </row>
    <row r="18" spans="1:11" x14ac:dyDescent="0.25">
      <c r="A18" s="136"/>
      <c r="B18" s="142"/>
      <c r="C18" s="136"/>
      <c r="D18" s="136"/>
      <c r="E18" s="136"/>
      <c r="F18" s="136"/>
      <c r="G18" s="136"/>
      <c r="H18" s="136"/>
      <c r="I18" s="143"/>
      <c r="J18" s="141"/>
      <c r="K18" s="136"/>
    </row>
    <row r="19" spans="1:11" x14ac:dyDescent="0.25">
      <c r="A19" s="136"/>
      <c r="B19" s="142"/>
      <c r="C19" s="209" t="s">
        <v>398</v>
      </c>
      <c r="D19" s="211"/>
      <c r="E19" s="136"/>
      <c r="F19" s="318">
        <v>45981</v>
      </c>
      <c r="G19" s="319"/>
      <c r="H19" s="136"/>
      <c r="I19" s="147" t="s">
        <v>158</v>
      </c>
      <c r="J19" s="141"/>
      <c r="K19" s="136"/>
    </row>
    <row r="20" spans="1:11" x14ac:dyDescent="0.25">
      <c r="A20" s="136"/>
      <c r="B20" s="142"/>
      <c r="C20" s="136"/>
      <c r="D20" s="148" t="s">
        <v>340</v>
      </c>
      <c r="E20" s="136"/>
      <c r="F20" s="320" t="s">
        <v>341</v>
      </c>
      <c r="G20" s="320"/>
      <c r="H20" s="136"/>
      <c r="I20" s="149" t="s">
        <v>342</v>
      </c>
      <c r="J20" s="141"/>
      <c r="K20" s="136"/>
    </row>
    <row r="21" spans="1:11" x14ac:dyDescent="0.25">
      <c r="A21" s="136"/>
      <c r="B21" s="150"/>
      <c r="C21" s="143"/>
      <c r="D21" s="143"/>
      <c r="E21" s="143"/>
      <c r="F21" s="143"/>
      <c r="G21" s="143"/>
      <c r="H21" s="143"/>
      <c r="I21" s="143"/>
      <c r="J21" s="151"/>
      <c r="K21" s="136"/>
    </row>
    <row r="22" spans="1:11" x14ac:dyDescent="0.25">
      <c r="A22" s="136"/>
      <c r="B22" s="136"/>
      <c r="C22" s="136"/>
      <c r="D22" s="136"/>
      <c r="E22" s="136"/>
      <c r="F22" s="136"/>
      <c r="G22" s="136"/>
      <c r="H22" s="136"/>
      <c r="I22" s="136"/>
      <c r="J22" s="136"/>
      <c r="K22" s="136"/>
    </row>
    <row r="23" spans="1:11" x14ac:dyDescent="0.25">
      <c r="A23" s="136"/>
      <c r="B23" s="203" t="s">
        <v>343</v>
      </c>
      <c r="C23" s="203"/>
      <c r="D23" s="203"/>
      <c r="E23" s="203"/>
      <c r="F23" s="203"/>
      <c r="G23" s="203"/>
      <c r="H23" s="203"/>
      <c r="I23" s="203"/>
      <c r="J23" s="203"/>
      <c r="K23" s="136"/>
    </row>
    <row r="24" spans="1:11" x14ac:dyDescent="0.25">
      <c r="A24" s="136"/>
      <c r="B24" s="139"/>
      <c r="C24" s="136"/>
      <c r="D24" s="136"/>
      <c r="E24" s="136"/>
      <c r="F24" s="136"/>
      <c r="G24" s="136"/>
      <c r="H24" s="136"/>
      <c r="I24" s="136"/>
      <c r="J24" s="141"/>
      <c r="K24" s="136"/>
    </row>
    <row r="25" spans="1:11" x14ac:dyDescent="0.25">
      <c r="A25" s="136"/>
      <c r="B25" s="142"/>
      <c r="C25" s="136"/>
      <c r="D25" s="138" t="s">
        <v>344</v>
      </c>
      <c r="E25" s="136"/>
      <c r="F25" s="136"/>
      <c r="G25" s="136"/>
      <c r="H25" s="136"/>
      <c r="I25" s="152" t="s">
        <v>345</v>
      </c>
      <c r="J25" s="141"/>
      <c r="K25" s="136"/>
    </row>
    <row r="26" spans="1:11" x14ac:dyDescent="0.25">
      <c r="A26" s="136"/>
      <c r="B26" s="142"/>
      <c r="C26" s="136"/>
      <c r="D26" s="136"/>
      <c r="E26" s="136"/>
      <c r="F26" s="136"/>
      <c r="G26" s="136"/>
      <c r="H26" s="148" t="s">
        <v>346</v>
      </c>
      <c r="I26" s="153" t="s">
        <v>347</v>
      </c>
      <c r="J26" s="141"/>
      <c r="K26" s="136"/>
    </row>
    <row r="27" spans="1:11" x14ac:dyDescent="0.25">
      <c r="A27" s="136"/>
      <c r="B27" s="154"/>
      <c r="C27" s="155" t="s">
        <v>125</v>
      </c>
      <c r="D27" s="136" t="s">
        <v>348</v>
      </c>
      <c r="E27" s="136"/>
      <c r="F27" s="136"/>
      <c r="G27" s="136"/>
      <c r="H27" s="156"/>
      <c r="I27" s="156"/>
      <c r="J27" s="157"/>
      <c r="K27" s="158" t="str">
        <f>IF(ABS(H27*0.05-I27)&gt;0.5,"HIBA!","")</f>
        <v/>
      </c>
    </row>
    <row r="28" spans="1:11" x14ac:dyDescent="0.25">
      <c r="A28" s="136"/>
      <c r="B28" s="154"/>
      <c r="C28" s="155" t="s">
        <v>128</v>
      </c>
      <c r="D28" s="136" t="s">
        <v>349</v>
      </c>
      <c r="E28" s="136"/>
      <c r="F28" s="136"/>
      <c r="G28" s="136"/>
      <c r="H28" s="156"/>
      <c r="I28" s="156"/>
      <c r="J28" s="157"/>
      <c r="K28" s="158" t="str">
        <f>IF(ABS(H28*0.18-I28)&gt;0.5,"HIBA!","")</f>
        <v/>
      </c>
    </row>
    <row r="29" spans="1:11" x14ac:dyDescent="0.25">
      <c r="A29" s="136"/>
      <c r="B29" s="154"/>
      <c r="C29" s="155" t="s">
        <v>132</v>
      </c>
      <c r="D29" s="136" t="s">
        <v>350</v>
      </c>
      <c r="E29" s="136"/>
      <c r="F29" s="136"/>
      <c r="G29" s="136"/>
      <c r="H29" s="156">
        <v>3600</v>
      </c>
      <c r="I29" s="156">
        <f>'ÁFA  analitika'!J10/1000</f>
        <v>972.00000000000011</v>
      </c>
      <c r="J29" s="157"/>
      <c r="K29" s="158" t="str">
        <f>IF(ABS(H29*0.27-I29)&gt;0.5,"HIBA!","")</f>
        <v/>
      </c>
    </row>
    <row r="30" spans="1:11" x14ac:dyDescent="0.25">
      <c r="A30" s="136"/>
      <c r="B30" s="154"/>
      <c r="C30" s="155" t="s">
        <v>147</v>
      </c>
      <c r="D30" s="136" t="s">
        <v>351</v>
      </c>
      <c r="E30" s="136"/>
      <c r="F30" s="136"/>
      <c r="G30" s="136"/>
      <c r="H30" s="156"/>
      <c r="I30" s="159">
        <v>0</v>
      </c>
      <c r="J30" s="157"/>
      <c r="K30" s="158"/>
    </row>
    <row r="31" spans="1:11" x14ac:dyDescent="0.25">
      <c r="A31" s="136"/>
      <c r="B31" s="154"/>
      <c r="C31" s="155" t="s">
        <v>161</v>
      </c>
      <c r="D31" s="136" t="s">
        <v>352</v>
      </c>
      <c r="E31" s="136"/>
      <c r="F31" s="136"/>
      <c r="G31" s="136"/>
      <c r="H31" s="156"/>
      <c r="I31" s="156"/>
      <c r="J31" s="157"/>
      <c r="K31" s="158"/>
    </row>
    <row r="32" spans="1:11" x14ac:dyDescent="0.25">
      <c r="A32" s="136"/>
      <c r="B32" s="154"/>
      <c r="C32" s="155" t="s">
        <v>163</v>
      </c>
      <c r="D32" s="136" t="s">
        <v>353</v>
      </c>
      <c r="E32" s="136"/>
      <c r="F32" s="136"/>
      <c r="G32" s="136"/>
      <c r="H32" s="156"/>
      <c r="I32" s="156"/>
      <c r="J32" s="157"/>
      <c r="K32" s="158"/>
    </row>
    <row r="33" spans="1:11" x14ac:dyDescent="0.25">
      <c r="A33" s="136"/>
      <c r="B33" s="154"/>
      <c r="C33" s="155" t="s">
        <v>218</v>
      </c>
      <c r="D33" s="136" t="s">
        <v>354</v>
      </c>
      <c r="E33" s="136"/>
      <c r="F33" s="136"/>
      <c r="G33" s="136"/>
      <c r="H33" s="156"/>
      <c r="I33" s="156"/>
      <c r="J33" s="157"/>
      <c r="K33" s="158"/>
    </row>
    <row r="34" spans="1:11" x14ac:dyDescent="0.25">
      <c r="A34" s="136"/>
      <c r="B34" s="154"/>
      <c r="C34" s="155" t="s">
        <v>355</v>
      </c>
      <c r="D34" s="136" t="s">
        <v>356</v>
      </c>
      <c r="E34" s="136"/>
      <c r="F34" s="136"/>
      <c r="G34" s="136"/>
      <c r="H34" s="156"/>
      <c r="I34" s="156"/>
      <c r="J34" s="157"/>
      <c r="K34" s="158"/>
    </row>
    <row r="35" spans="1:11" x14ac:dyDescent="0.25">
      <c r="A35" s="136"/>
      <c r="B35" s="160"/>
      <c r="C35" s="161" t="s">
        <v>357</v>
      </c>
      <c r="D35" s="138" t="s">
        <v>12</v>
      </c>
      <c r="E35" s="138"/>
      <c r="F35" s="138"/>
      <c r="G35" s="138"/>
      <c r="H35" s="162">
        <f>SUM(H27:H34)</f>
        <v>3600</v>
      </c>
      <c r="I35" s="162">
        <f>SUM(I27:I34)</f>
        <v>972.00000000000011</v>
      </c>
      <c r="J35" s="157"/>
      <c r="K35" s="158"/>
    </row>
    <row r="36" spans="1:11" x14ac:dyDescent="0.25">
      <c r="A36" s="136"/>
      <c r="B36" s="154"/>
      <c r="C36" s="155" t="s">
        <v>358</v>
      </c>
      <c r="D36" s="163" t="s">
        <v>359</v>
      </c>
      <c r="E36" s="136"/>
      <c r="F36" s="136"/>
      <c r="G36" s="136"/>
      <c r="H36" s="156"/>
      <c r="I36" s="156"/>
      <c r="J36" s="157"/>
      <c r="K36" s="158"/>
    </row>
    <row r="37" spans="1:11" x14ac:dyDescent="0.25">
      <c r="A37" s="136"/>
      <c r="B37" s="154"/>
      <c r="C37" s="155" t="s">
        <v>360</v>
      </c>
      <c r="D37" s="163" t="s">
        <v>361</v>
      </c>
      <c r="E37" s="136"/>
      <c r="F37" s="136"/>
      <c r="G37" s="136"/>
      <c r="H37" s="156"/>
      <c r="I37" s="156"/>
      <c r="J37" s="157"/>
      <c r="K37" s="158"/>
    </row>
    <row r="38" spans="1:11" x14ac:dyDescent="0.25">
      <c r="A38" s="136"/>
      <c r="B38" s="164"/>
      <c r="C38" s="165"/>
      <c r="D38" s="143"/>
      <c r="E38" s="143"/>
      <c r="F38" s="143"/>
      <c r="G38" s="143"/>
      <c r="H38" s="143"/>
      <c r="I38" s="144"/>
      <c r="J38" s="151"/>
      <c r="K38" s="136"/>
    </row>
    <row r="39" spans="1:11" x14ac:dyDescent="0.25">
      <c r="A39" s="136"/>
      <c r="B39" s="155"/>
      <c r="C39" s="155"/>
      <c r="D39" s="136"/>
      <c r="E39" s="136"/>
      <c r="F39" s="136"/>
      <c r="G39" s="136"/>
      <c r="H39" s="136"/>
      <c r="I39" s="136"/>
      <c r="J39" s="136"/>
      <c r="K39" s="136"/>
    </row>
    <row r="40" spans="1:11" x14ac:dyDescent="0.25">
      <c r="A40" s="136"/>
      <c r="B40" s="203" t="s">
        <v>362</v>
      </c>
      <c r="C40" s="203"/>
      <c r="D40" s="203"/>
      <c r="E40" s="203"/>
      <c r="F40" s="203"/>
      <c r="G40" s="203"/>
      <c r="H40" s="203"/>
      <c r="I40" s="203"/>
      <c r="J40" s="203"/>
      <c r="K40" s="136"/>
    </row>
    <row r="41" spans="1:11" x14ac:dyDescent="0.25">
      <c r="A41" s="136"/>
      <c r="B41" s="166"/>
      <c r="C41" s="155"/>
      <c r="D41" s="136"/>
      <c r="E41" s="136"/>
      <c r="F41" s="136"/>
      <c r="G41" s="136"/>
      <c r="H41" s="136"/>
      <c r="I41" s="136"/>
      <c r="J41" s="141"/>
      <c r="K41" s="136"/>
    </row>
    <row r="42" spans="1:11" x14ac:dyDescent="0.25">
      <c r="A42" s="136"/>
      <c r="B42" s="154"/>
      <c r="C42" s="155"/>
      <c r="D42" s="138" t="s">
        <v>363</v>
      </c>
      <c r="E42" s="136"/>
      <c r="F42" s="136"/>
      <c r="G42" s="136"/>
      <c r="H42" s="136"/>
      <c r="I42" s="152" t="s">
        <v>345</v>
      </c>
      <c r="J42" s="141"/>
      <c r="K42" s="136"/>
    </row>
    <row r="43" spans="1:11" x14ac:dyDescent="0.25">
      <c r="A43" s="136"/>
      <c r="B43" s="154"/>
      <c r="C43" s="155"/>
      <c r="D43" s="136"/>
      <c r="E43" s="136"/>
      <c r="F43" s="136"/>
      <c r="G43" s="136"/>
      <c r="H43" s="148" t="s">
        <v>346</v>
      </c>
      <c r="I43" s="153" t="s">
        <v>347</v>
      </c>
      <c r="J43" s="141"/>
      <c r="K43" s="136"/>
    </row>
    <row r="44" spans="1:11" x14ac:dyDescent="0.25">
      <c r="A44" s="136"/>
      <c r="B44" s="154"/>
      <c r="C44" s="155" t="s">
        <v>364</v>
      </c>
      <c r="D44" s="136" t="s">
        <v>365</v>
      </c>
      <c r="E44" s="136"/>
      <c r="F44" s="136"/>
      <c r="G44" s="136"/>
      <c r="H44" s="156"/>
      <c r="I44" s="101">
        <v>0</v>
      </c>
      <c r="J44" s="141"/>
      <c r="K44" s="136"/>
    </row>
    <row r="45" spans="1:11" x14ac:dyDescent="0.25">
      <c r="A45" s="136"/>
      <c r="B45" s="154"/>
      <c r="C45" s="155" t="s">
        <v>366</v>
      </c>
      <c r="D45" s="136" t="s">
        <v>367</v>
      </c>
      <c r="E45" s="136"/>
      <c r="F45" s="136"/>
      <c r="G45" s="136"/>
      <c r="H45" s="156"/>
      <c r="I45" s="156"/>
      <c r="J45" s="157"/>
      <c r="K45" s="158" t="str">
        <f>IF(ABS(H45*0.05-I45)&gt;0.5,"HIBA!","")</f>
        <v/>
      </c>
    </row>
    <row r="46" spans="1:11" x14ac:dyDescent="0.25">
      <c r="A46" s="136"/>
      <c r="B46" s="154"/>
      <c r="C46" s="155" t="s">
        <v>368</v>
      </c>
      <c r="D46" s="136" t="s">
        <v>369</v>
      </c>
      <c r="E46" s="136"/>
      <c r="F46" s="136"/>
      <c r="G46" s="136"/>
      <c r="H46" s="156"/>
      <c r="I46" s="156"/>
      <c r="J46" s="157"/>
      <c r="K46" s="158" t="str">
        <f>IF(ABS(H46*0.18-I46)&gt;0.5,"HIBA!","")</f>
        <v/>
      </c>
    </row>
    <row r="47" spans="1:11" x14ac:dyDescent="0.25">
      <c r="A47" s="136"/>
      <c r="B47" s="154"/>
      <c r="C47" s="155" t="s">
        <v>370</v>
      </c>
      <c r="D47" s="136" t="s">
        <v>371</v>
      </c>
      <c r="E47" s="136"/>
      <c r="F47" s="136"/>
      <c r="G47" s="136"/>
      <c r="H47" s="156">
        <v>657</v>
      </c>
      <c r="I47" s="156">
        <v>177</v>
      </c>
      <c r="J47" s="157"/>
      <c r="K47" s="158" t="str">
        <f>IF(ABS(H47*0.27-I47)&gt;0.5,"HIBA!","")</f>
        <v/>
      </c>
    </row>
    <row r="48" spans="1:11" x14ac:dyDescent="0.25">
      <c r="A48" s="136"/>
      <c r="B48" s="154"/>
      <c r="C48" s="155" t="s">
        <v>372</v>
      </c>
      <c r="D48" s="136" t="s">
        <v>373</v>
      </c>
      <c r="E48" s="136"/>
      <c r="F48" s="136"/>
      <c r="G48" s="136"/>
      <c r="H48" s="156"/>
      <c r="I48" s="156"/>
      <c r="J48" s="141"/>
      <c r="K48" s="136"/>
    </row>
    <row r="49" spans="1:11" x14ac:dyDescent="0.25">
      <c r="A49" s="136"/>
      <c r="B49" s="154"/>
      <c r="C49" s="155" t="s">
        <v>374</v>
      </c>
      <c r="D49" s="136" t="s">
        <v>375</v>
      </c>
      <c r="E49" s="136"/>
      <c r="F49" s="136"/>
      <c r="G49" s="136"/>
      <c r="H49" s="156"/>
      <c r="I49" s="156"/>
      <c r="J49" s="141"/>
      <c r="K49" s="136"/>
    </row>
    <row r="50" spans="1:11" x14ac:dyDescent="0.25">
      <c r="A50" s="136"/>
      <c r="B50" s="154"/>
      <c r="C50" s="155" t="s">
        <v>376</v>
      </c>
      <c r="D50" s="136" t="s">
        <v>352</v>
      </c>
      <c r="E50" s="136"/>
      <c r="F50" s="136"/>
      <c r="G50" s="136"/>
      <c r="H50" s="156"/>
      <c r="I50" s="156"/>
      <c r="J50" s="141"/>
      <c r="K50" s="136"/>
    </row>
    <row r="51" spans="1:11" x14ac:dyDescent="0.25">
      <c r="A51" s="136"/>
      <c r="B51" s="154"/>
      <c r="C51" s="155" t="s">
        <v>377</v>
      </c>
      <c r="D51" s="136" t="s">
        <v>356</v>
      </c>
      <c r="E51" s="136"/>
      <c r="F51" s="136"/>
      <c r="G51" s="136"/>
      <c r="H51" s="156"/>
      <c r="I51" s="156"/>
      <c r="J51" s="141"/>
      <c r="K51" s="136"/>
    </row>
    <row r="52" spans="1:11" x14ac:dyDescent="0.25">
      <c r="A52" s="136"/>
      <c r="B52" s="160"/>
      <c r="C52" s="161" t="s">
        <v>378</v>
      </c>
      <c r="D52" s="138" t="s">
        <v>12</v>
      </c>
      <c r="E52" s="138"/>
      <c r="F52" s="138"/>
      <c r="G52" s="138"/>
      <c r="H52" s="167">
        <f>SUM(H44:H51)</f>
        <v>657</v>
      </c>
      <c r="I52" s="167">
        <f>SUM(I44:I51)</f>
        <v>177</v>
      </c>
      <c r="J52" s="141"/>
      <c r="K52" s="136"/>
    </row>
    <row r="53" spans="1:11" x14ac:dyDescent="0.25">
      <c r="A53" s="136"/>
      <c r="B53" s="154"/>
      <c r="C53" s="155" t="s">
        <v>379</v>
      </c>
      <c r="D53" s="163" t="s">
        <v>380</v>
      </c>
      <c r="E53" s="136"/>
      <c r="F53" s="136"/>
      <c r="G53" s="136"/>
      <c r="H53" s="156">
        <v>83</v>
      </c>
      <c r="I53" s="156">
        <v>22</v>
      </c>
      <c r="J53" s="141"/>
      <c r="K53" s="136"/>
    </row>
    <row r="54" spans="1:11" x14ac:dyDescent="0.25">
      <c r="A54" s="136"/>
      <c r="B54" s="154"/>
      <c r="C54" s="155" t="s">
        <v>381</v>
      </c>
      <c r="D54" s="163" t="s">
        <v>382</v>
      </c>
      <c r="E54" s="136"/>
      <c r="F54" s="136"/>
      <c r="G54" s="136"/>
      <c r="H54" s="156"/>
      <c r="I54" s="156"/>
      <c r="J54" s="141"/>
      <c r="K54" s="136"/>
    </row>
    <row r="55" spans="1:11" x14ac:dyDescent="0.25">
      <c r="A55" s="136"/>
      <c r="B55" s="154"/>
      <c r="C55" s="155" t="s">
        <v>383</v>
      </c>
      <c r="D55" s="163" t="s">
        <v>384</v>
      </c>
      <c r="E55" s="136"/>
      <c r="F55" s="136"/>
      <c r="G55" s="136"/>
      <c r="H55" s="156"/>
      <c r="I55" s="156"/>
      <c r="J55" s="141"/>
      <c r="K55" s="136"/>
    </row>
    <row r="56" spans="1:11" x14ac:dyDescent="0.25">
      <c r="A56" s="136"/>
      <c r="B56" s="164"/>
      <c r="C56" s="165"/>
      <c r="D56" s="168"/>
      <c r="E56" s="143"/>
      <c r="F56" s="143"/>
      <c r="G56" s="143"/>
      <c r="H56" s="143"/>
      <c r="I56" s="144"/>
      <c r="J56" s="151"/>
      <c r="K56" s="136"/>
    </row>
    <row r="57" spans="1:11" x14ac:dyDescent="0.25">
      <c r="A57" s="136"/>
      <c r="B57" s="155"/>
      <c r="C57" s="155"/>
      <c r="D57" s="136"/>
      <c r="E57" s="136"/>
      <c r="F57" s="136"/>
      <c r="G57" s="136"/>
      <c r="H57" s="136"/>
      <c r="I57" s="136"/>
      <c r="J57" s="136"/>
      <c r="K57" s="136"/>
    </row>
    <row r="58" spans="1:11" x14ac:dyDescent="0.25">
      <c r="A58" s="136"/>
      <c r="B58" s="203" t="s">
        <v>385</v>
      </c>
      <c r="C58" s="203"/>
      <c r="D58" s="203"/>
      <c r="E58" s="203"/>
      <c r="F58" s="203"/>
      <c r="G58" s="203"/>
      <c r="H58" s="203"/>
      <c r="I58" s="203"/>
      <c r="J58" s="203"/>
      <c r="K58" s="136"/>
    </row>
    <row r="59" spans="1:11" x14ac:dyDescent="0.25">
      <c r="A59" s="136"/>
      <c r="B59" s="166"/>
      <c r="C59" s="155"/>
      <c r="D59" s="136"/>
      <c r="E59" s="136"/>
      <c r="F59" s="136"/>
      <c r="G59" s="136"/>
      <c r="H59" s="136"/>
      <c r="I59" s="136"/>
      <c r="J59" s="141"/>
      <c r="K59" s="136"/>
    </row>
    <row r="60" spans="1:11" x14ac:dyDescent="0.25">
      <c r="A60" s="136"/>
      <c r="B60" s="154"/>
      <c r="C60" s="155" t="s">
        <v>386</v>
      </c>
      <c r="D60" s="136" t="s">
        <v>387</v>
      </c>
      <c r="E60" s="136"/>
      <c r="F60" s="136"/>
      <c r="G60" s="136"/>
      <c r="H60" s="136"/>
      <c r="I60" s="156"/>
      <c r="J60" s="141"/>
      <c r="K60" s="136"/>
    </row>
    <row r="61" spans="1:11" x14ac:dyDescent="0.25">
      <c r="A61" s="136"/>
      <c r="B61" s="154"/>
      <c r="C61" s="155" t="s">
        <v>388</v>
      </c>
      <c r="D61" s="316" t="s">
        <v>389</v>
      </c>
      <c r="E61" s="316"/>
      <c r="F61" s="316"/>
      <c r="G61" s="316"/>
      <c r="H61" s="317"/>
      <c r="I61" s="167">
        <f>+I35-I52-I60</f>
        <v>795.00000000000011</v>
      </c>
      <c r="J61" s="141"/>
      <c r="K61" s="136"/>
    </row>
    <row r="62" spans="1:11" x14ac:dyDescent="0.25">
      <c r="A62" s="136"/>
      <c r="B62" s="154"/>
      <c r="C62" s="155" t="s">
        <v>390</v>
      </c>
      <c r="D62" s="136" t="s">
        <v>391</v>
      </c>
      <c r="E62" s="136"/>
      <c r="F62" s="136"/>
      <c r="G62" s="136"/>
      <c r="H62" s="136"/>
      <c r="I62" s="156">
        <v>795</v>
      </c>
      <c r="J62" s="141"/>
      <c r="K62" s="136"/>
    </row>
    <row r="63" spans="1:11" x14ac:dyDescent="0.25">
      <c r="A63" s="136"/>
      <c r="B63" s="154"/>
      <c r="C63" s="155" t="s">
        <v>392</v>
      </c>
      <c r="D63" s="136" t="s">
        <v>393</v>
      </c>
      <c r="E63" s="136"/>
      <c r="F63" s="136"/>
      <c r="G63" s="136"/>
      <c r="H63" s="136"/>
      <c r="I63" s="156"/>
      <c r="J63" s="141"/>
      <c r="K63" s="136"/>
    </row>
    <row r="64" spans="1:11" x14ac:dyDescent="0.25">
      <c r="A64" s="136"/>
      <c r="B64" s="154"/>
      <c r="C64" s="155" t="s">
        <v>394</v>
      </c>
      <c r="D64" s="136" t="s">
        <v>395</v>
      </c>
      <c r="E64" s="136"/>
      <c r="F64" s="136"/>
      <c r="G64" s="136"/>
      <c r="H64" s="136"/>
      <c r="I64" s="156"/>
      <c r="J64" s="141"/>
      <c r="K64" s="136"/>
    </row>
    <row r="65" spans="1:11" x14ac:dyDescent="0.25">
      <c r="A65" s="136"/>
      <c r="B65" s="164"/>
      <c r="C65" s="165"/>
      <c r="D65" s="143"/>
      <c r="E65" s="143"/>
      <c r="F65" s="143"/>
      <c r="G65" s="143"/>
      <c r="H65" s="143"/>
      <c r="I65" s="144"/>
      <c r="J65" s="151"/>
      <c r="K65" s="136"/>
    </row>
    <row r="66" spans="1:11" x14ac:dyDescent="0.25">
      <c r="A66" s="136"/>
      <c r="B66" s="155"/>
      <c r="C66" s="155"/>
      <c r="D66" s="136"/>
      <c r="E66" s="136"/>
      <c r="F66" s="136"/>
      <c r="G66" s="136"/>
      <c r="H66" s="136"/>
      <c r="I66" s="136"/>
      <c r="J66" s="136"/>
      <c r="K66" s="136"/>
    </row>
    <row r="67" spans="1:11" hidden="1" x14ac:dyDescent="0.25">
      <c r="B67" s="169"/>
      <c r="C67" s="169"/>
    </row>
    <row r="68" spans="1:11" hidden="1" x14ac:dyDescent="0.25">
      <c r="B68" s="169"/>
      <c r="C68" s="169"/>
    </row>
    <row r="69" spans="1:11" hidden="1" x14ac:dyDescent="0.25"/>
  </sheetData>
  <sheetProtection algorithmName="SHA-512" hashValue="V8nzMF4nZSwcg++fqQ3BtrW/n6gdPOMD7zQplrFcyEHqP4r+iVGKkky+Y3Nib9cQRi+9RuC/IZirZcY0fkxj5Q==" saltValue="Ehi4smWzKMz7OBbzkLVI9w==" spinCount="100000" sheet="1" objects="1" scenarios="1"/>
  <mergeCells count="15">
    <mergeCell ref="E9:F9"/>
    <mergeCell ref="C1:E1"/>
    <mergeCell ref="F1:I1"/>
    <mergeCell ref="B3:J3"/>
    <mergeCell ref="E5:G5"/>
    <mergeCell ref="E7:I7"/>
    <mergeCell ref="B40:J40"/>
    <mergeCell ref="B58:J58"/>
    <mergeCell ref="D61:H61"/>
    <mergeCell ref="E12:F12"/>
    <mergeCell ref="E15:H15"/>
    <mergeCell ref="C19:D19"/>
    <mergeCell ref="F19:G19"/>
    <mergeCell ref="F20:G20"/>
    <mergeCell ref="B23:J23"/>
  </mergeCells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E54B6-B79C-4AE4-B5FE-4DECBCB2CE5A}">
  <dimension ref="A1:K69"/>
  <sheetViews>
    <sheetView workbookViewId="0">
      <selection activeCell="I19" sqref="I19"/>
    </sheetView>
  </sheetViews>
  <sheetFormatPr defaultColWidth="0" defaultRowHeight="15" customHeight="1" zeroHeight="1" x14ac:dyDescent="0.25"/>
  <cols>
    <col min="1" max="1" width="6.85546875" customWidth="1"/>
    <col min="2" max="3" width="3.5703125" customWidth="1"/>
    <col min="4" max="4" width="35.85546875" customWidth="1"/>
    <col min="5" max="5" width="9.140625" customWidth="1"/>
    <col min="6" max="6" width="10.28515625" customWidth="1"/>
    <col min="7" max="7" width="12.85546875" customWidth="1"/>
    <col min="8" max="9" width="17.7109375" customWidth="1"/>
    <col min="10" max="10" width="3.5703125" customWidth="1"/>
    <col min="11" max="11" width="8.85546875" customWidth="1"/>
    <col min="12" max="16384" width="8.85546875" hidden="1"/>
  </cols>
  <sheetData>
    <row r="1" spans="1:11" ht="27.6" customHeight="1" x14ac:dyDescent="0.3">
      <c r="A1" s="136"/>
      <c r="B1" s="137"/>
      <c r="C1" s="201">
        <v>2565</v>
      </c>
      <c r="D1" s="201"/>
      <c r="E1" s="201"/>
      <c r="F1" s="202" t="s">
        <v>329</v>
      </c>
      <c r="G1" s="202"/>
      <c r="H1" s="202"/>
      <c r="I1" s="202"/>
      <c r="J1" s="136"/>
      <c r="K1" s="136"/>
    </row>
    <row r="2" spans="1:11" x14ac:dyDescent="0.25">
      <c r="A2" s="136"/>
      <c r="B2" s="136"/>
      <c r="C2" s="136"/>
      <c r="D2" s="138"/>
      <c r="E2" s="138"/>
      <c r="F2" s="136"/>
      <c r="G2" s="136"/>
      <c r="H2" s="136"/>
      <c r="I2" s="136"/>
      <c r="J2" s="136"/>
      <c r="K2" s="136"/>
    </row>
    <row r="3" spans="1:11" x14ac:dyDescent="0.25">
      <c r="A3" s="136"/>
      <c r="B3" s="203" t="s">
        <v>330</v>
      </c>
      <c r="C3" s="203"/>
      <c r="D3" s="203"/>
      <c r="E3" s="203"/>
      <c r="F3" s="203"/>
      <c r="G3" s="203"/>
      <c r="H3" s="203"/>
      <c r="I3" s="203"/>
      <c r="J3" s="203"/>
      <c r="K3" s="136"/>
    </row>
    <row r="4" spans="1:11" x14ac:dyDescent="0.25">
      <c r="A4" s="136"/>
      <c r="B4" s="139"/>
      <c r="C4" s="136"/>
      <c r="D4" s="140"/>
      <c r="E4" s="140"/>
      <c r="F4" s="140"/>
      <c r="G4" s="140"/>
      <c r="H4" s="140"/>
      <c r="I4" s="140"/>
      <c r="J4" s="141"/>
      <c r="K4" s="136"/>
    </row>
    <row r="5" spans="1:11" x14ac:dyDescent="0.25">
      <c r="A5" s="136"/>
      <c r="B5" s="142"/>
      <c r="C5" s="136" t="s">
        <v>331</v>
      </c>
      <c r="D5" s="141"/>
      <c r="E5" s="209" t="s">
        <v>396</v>
      </c>
      <c r="F5" s="210"/>
      <c r="G5" s="211"/>
      <c r="H5" s="136"/>
      <c r="I5" s="136"/>
      <c r="J5" s="141"/>
      <c r="K5" s="136"/>
    </row>
    <row r="6" spans="1:11" x14ac:dyDescent="0.25">
      <c r="A6" s="136"/>
      <c r="B6" s="142"/>
      <c r="C6" s="136"/>
      <c r="D6" s="136"/>
      <c r="E6" s="136"/>
      <c r="F6" s="136"/>
      <c r="G6" s="136"/>
      <c r="H6" s="136"/>
      <c r="I6" s="143"/>
      <c r="J6" s="141"/>
      <c r="K6" s="136"/>
    </row>
    <row r="7" spans="1:11" x14ac:dyDescent="0.25">
      <c r="A7" s="136"/>
      <c r="B7" s="142"/>
      <c r="C7" s="136" t="s">
        <v>332</v>
      </c>
      <c r="D7" s="141"/>
      <c r="E7" s="209" t="s">
        <v>126</v>
      </c>
      <c r="F7" s="210"/>
      <c r="G7" s="210"/>
      <c r="H7" s="210"/>
      <c r="I7" s="211"/>
      <c r="J7" s="141"/>
      <c r="K7" s="136"/>
    </row>
    <row r="8" spans="1:11" x14ac:dyDescent="0.25">
      <c r="A8" s="136"/>
      <c r="B8" s="142"/>
      <c r="C8" s="136"/>
      <c r="D8" s="136"/>
      <c r="E8" s="136"/>
      <c r="F8" s="136"/>
      <c r="G8" s="136"/>
      <c r="H8" s="136"/>
      <c r="I8" s="144"/>
      <c r="J8" s="141"/>
      <c r="K8" s="136"/>
    </row>
    <row r="9" spans="1:11" x14ac:dyDescent="0.25">
      <c r="A9" s="136"/>
      <c r="B9" s="142"/>
      <c r="C9" s="136" t="s">
        <v>333</v>
      </c>
      <c r="D9" s="141"/>
      <c r="E9" s="209" t="s">
        <v>117</v>
      </c>
      <c r="F9" s="211"/>
      <c r="G9" s="136"/>
      <c r="H9" s="136" t="s">
        <v>334</v>
      </c>
      <c r="I9" s="170" t="s">
        <v>397</v>
      </c>
      <c r="J9" s="141"/>
      <c r="K9" s="136"/>
    </row>
    <row r="10" spans="1:11" x14ac:dyDescent="0.25">
      <c r="A10" s="136"/>
      <c r="B10" s="142"/>
      <c r="C10" s="136"/>
      <c r="D10" s="136"/>
      <c r="E10" s="136"/>
      <c r="F10" s="136"/>
      <c r="G10" s="136"/>
      <c r="H10" s="136"/>
      <c r="I10" s="145"/>
      <c r="J10" s="141"/>
      <c r="K10" s="136"/>
    </row>
    <row r="11" spans="1:11" x14ac:dyDescent="0.25">
      <c r="A11" s="136"/>
      <c r="B11" s="142"/>
      <c r="C11" s="136" t="s">
        <v>335</v>
      </c>
      <c r="D11" s="136"/>
      <c r="E11" s="136" t="s">
        <v>336</v>
      </c>
      <c r="F11" s="136"/>
      <c r="G11" s="136"/>
      <c r="H11" s="136" t="s">
        <v>337</v>
      </c>
      <c r="I11" s="136"/>
      <c r="J11" s="141"/>
      <c r="K11" s="136"/>
    </row>
    <row r="12" spans="1:11" x14ac:dyDescent="0.25">
      <c r="A12" s="136"/>
      <c r="B12" s="142"/>
      <c r="C12" s="136"/>
      <c r="D12" s="136"/>
      <c r="E12" s="318">
        <v>45953</v>
      </c>
      <c r="F12" s="319"/>
      <c r="G12" s="136"/>
      <c r="H12" s="146">
        <v>45961</v>
      </c>
      <c r="I12" s="136"/>
      <c r="J12" s="141"/>
      <c r="K12" s="136"/>
    </row>
    <row r="13" spans="1:11" x14ac:dyDescent="0.25">
      <c r="A13" s="136"/>
      <c r="B13" s="142"/>
      <c r="C13" s="136"/>
      <c r="D13" s="136"/>
      <c r="E13" s="136"/>
      <c r="F13" s="136"/>
      <c r="G13" s="136"/>
      <c r="H13" s="136"/>
      <c r="I13" s="136"/>
      <c r="J13" s="141"/>
      <c r="K13" s="136"/>
    </row>
    <row r="14" spans="1:11" x14ac:dyDescent="0.25">
      <c r="A14" s="136"/>
      <c r="B14" s="142"/>
      <c r="C14" s="136" t="s">
        <v>338</v>
      </c>
      <c r="D14" s="136"/>
      <c r="E14" s="136"/>
      <c r="F14" s="136"/>
      <c r="G14" s="136"/>
      <c r="H14" s="136"/>
      <c r="I14" s="136"/>
      <c r="J14" s="141"/>
      <c r="K14" s="136"/>
    </row>
    <row r="15" spans="1:11" x14ac:dyDescent="0.25">
      <c r="A15" s="136"/>
      <c r="B15" s="142"/>
      <c r="C15" s="136"/>
      <c r="D15" s="136"/>
      <c r="E15" s="209" t="s">
        <v>180</v>
      </c>
      <c r="F15" s="210"/>
      <c r="G15" s="210" t="s">
        <v>180</v>
      </c>
      <c r="H15" s="211"/>
      <c r="I15" s="136"/>
      <c r="J15" s="141"/>
      <c r="K15" s="136"/>
    </row>
    <row r="16" spans="1:11" x14ac:dyDescent="0.25">
      <c r="A16" s="136"/>
      <c r="B16" s="142"/>
      <c r="C16" s="136"/>
      <c r="D16" s="136"/>
      <c r="E16" s="136"/>
      <c r="F16" s="136"/>
      <c r="G16" s="136"/>
      <c r="H16" s="136"/>
      <c r="I16" s="136"/>
      <c r="J16" s="141"/>
      <c r="K16" s="136"/>
    </row>
    <row r="17" spans="1:11" x14ac:dyDescent="0.25">
      <c r="A17" s="136"/>
      <c r="B17" s="142"/>
      <c r="C17" s="136" t="s">
        <v>339</v>
      </c>
      <c r="D17" s="136"/>
      <c r="E17" s="136"/>
      <c r="F17" s="136"/>
      <c r="G17" s="136"/>
      <c r="H17" s="136"/>
      <c r="I17" s="136"/>
      <c r="J17" s="141"/>
      <c r="K17" s="136"/>
    </row>
    <row r="18" spans="1:11" x14ac:dyDescent="0.25">
      <c r="A18" s="136"/>
      <c r="B18" s="142"/>
      <c r="C18" s="136"/>
      <c r="D18" s="136"/>
      <c r="E18" s="136"/>
      <c r="F18" s="136"/>
      <c r="G18" s="136"/>
      <c r="H18" s="136"/>
      <c r="I18" s="143"/>
      <c r="J18" s="141"/>
      <c r="K18" s="136"/>
    </row>
    <row r="19" spans="1:11" x14ac:dyDescent="0.25">
      <c r="A19" s="136"/>
      <c r="B19" s="142"/>
      <c r="C19" s="209" t="s">
        <v>398</v>
      </c>
      <c r="D19" s="211"/>
      <c r="E19" s="136"/>
      <c r="F19" s="318">
        <v>45981</v>
      </c>
      <c r="G19" s="319"/>
      <c r="H19" s="136"/>
      <c r="I19" s="147" t="s">
        <v>158</v>
      </c>
      <c r="J19" s="141"/>
      <c r="K19" s="136"/>
    </row>
    <row r="20" spans="1:11" x14ac:dyDescent="0.25">
      <c r="A20" s="136"/>
      <c r="B20" s="142"/>
      <c r="C20" s="136"/>
      <c r="D20" s="148" t="s">
        <v>340</v>
      </c>
      <c r="E20" s="136"/>
      <c r="F20" s="320" t="s">
        <v>341</v>
      </c>
      <c r="G20" s="320"/>
      <c r="H20" s="136"/>
      <c r="I20" s="149" t="s">
        <v>342</v>
      </c>
      <c r="J20" s="141"/>
      <c r="K20" s="136"/>
    </row>
    <row r="21" spans="1:11" x14ac:dyDescent="0.25">
      <c r="A21" s="136"/>
      <c r="B21" s="150"/>
      <c r="C21" s="143"/>
      <c r="D21" s="143"/>
      <c r="E21" s="143"/>
      <c r="F21" s="143"/>
      <c r="G21" s="143"/>
      <c r="H21" s="143"/>
      <c r="I21" s="143"/>
      <c r="J21" s="151"/>
      <c r="K21" s="136"/>
    </row>
    <row r="22" spans="1:11" x14ac:dyDescent="0.25">
      <c r="A22" s="136"/>
      <c r="B22" s="136"/>
      <c r="C22" s="136"/>
      <c r="D22" s="136"/>
      <c r="E22" s="136"/>
      <c r="F22" s="136"/>
      <c r="G22" s="136"/>
      <c r="H22" s="136"/>
      <c r="I22" s="136"/>
      <c r="J22" s="136"/>
      <c r="K22" s="136"/>
    </row>
    <row r="23" spans="1:11" x14ac:dyDescent="0.25">
      <c r="A23" s="136"/>
      <c r="B23" s="203" t="s">
        <v>343</v>
      </c>
      <c r="C23" s="203"/>
      <c r="D23" s="203"/>
      <c r="E23" s="203"/>
      <c r="F23" s="203"/>
      <c r="G23" s="203"/>
      <c r="H23" s="203"/>
      <c r="I23" s="203"/>
      <c r="J23" s="203"/>
      <c r="K23" s="136"/>
    </row>
    <row r="24" spans="1:11" x14ac:dyDescent="0.25">
      <c r="A24" s="136"/>
      <c r="B24" s="139"/>
      <c r="C24" s="136"/>
      <c r="D24" s="136"/>
      <c r="E24" s="136"/>
      <c r="F24" s="136"/>
      <c r="G24" s="136"/>
      <c r="H24" s="136"/>
      <c r="I24" s="136"/>
      <c r="J24" s="141"/>
      <c r="K24" s="136"/>
    </row>
    <row r="25" spans="1:11" x14ac:dyDescent="0.25">
      <c r="A25" s="136"/>
      <c r="B25" s="142"/>
      <c r="C25" s="136"/>
      <c r="D25" s="138" t="s">
        <v>344</v>
      </c>
      <c r="E25" s="136"/>
      <c r="F25" s="136"/>
      <c r="G25" s="136"/>
      <c r="H25" s="136"/>
      <c r="I25" s="152" t="s">
        <v>345</v>
      </c>
      <c r="J25" s="141"/>
      <c r="K25" s="136"/>
    </row>
    <row r="26" spans="1:11" x14ac:dyDescent="0.25">
      <c r="A26" s="136"/>
      <c r="B26" s="142"/>
      <c r="C26" s="136"/>
      <c r="D26" s="136"/>
      <c r="E26" s="136"/>
      <c r="F26" s="136"/>
      <c r="G26" s="136"/>
      <c r="H26" s="148" t="s">
        <v>346</v>
      </c>
      <c r="I26" s="153" t="s">
        <v>347</v>
      </c>
      <c r="J26" s="141"/>
      <c r="K26" s="136"/>
    </row>
    <row r="27" spans="1:11" x14ac:dyDescent="0.25">
      <c r="A27" s="136"/>
      <c r="B27" s="154"/>
      <c r="C27" s="155" t="s">
        <v>125</v>
      </c>
      <c r="D27" s="136" t="s">
        <v>348</v>
      </c>
      <c r="E27" s="136"/>
      <c r="F27" s="136"/>
      <c r="G27" s="136"/>
      <c r="H27" s="156"/>
      <c r="I27" s="156"/>
      <c r="J27" s="157"/>
      <c r="K27" s="158" t="str">
        <f>IF(ABS(H27*0.05-I27)&gt;0.5,"HIBA!","")</f>
        <v/>
      </c>
    </row>
    <row r="28" spans="1:11" x14ac:dyDescent="0.25">
      <c r="A28" s="136"/>
      <c r="B28" s="154"/>
      <c r="C28" s="155" t="s">
        <v>128</v>
      </c>
      <c r="D28" s="136" t="s">
        <v>349</v>
      </c>
      <c r="E28" s="136"/>
      <c r="F28" s="136"/>
      <c r="G28" s="136"/>
      <c r="H28" s="156"/>
      <c r="I28" s="156"/>
      <c r="J28" s="157"/>
      <c r="K28" s="158" t="str">
        <f>IF(ABS(H28*0.18-I28)&gt;0.5,"HIBA!","")</f>
        <v/>
      </c>
    </row>
    <row r="29" spans="1:11" x14ac:dyDescent="0.25">
      <c r="A29" s="136"/>
      <c r="B29" s="154"/>
      <c r="C29" s="155" t="s">
        <v>132</v>
      </c>
      <c r="D29" s="136" t="s">
        <v>350</v>
      </c>
      <c r="E29" s="136"/>
      <c r="F29" s="136"/>
      <c r="G29" s="136"/>
      <c r="H29" s="156">
        <v>315</v>
      </c>
      <c r="I29" s="156">
        <v>85</v>
      </c>
      <c r="J29" s="157"/>
      <c r="K29" s="158" t="str">
        <f>IF(ABS(H29*0.27-I29)&gt;0.5,"HIBA!","")</f>
        <v/>
      </c>
    </row>
    <row r="30" spans="1:11" x14ac:dyDescent="0.25">
      <c r="A30" s="136"/>
      <c r="B30" s="154"/>
      <c r="C30" s="155" t="s">
        <v>147</v>
      </c>
      <c r="D30" s="136" t="s">
        <v>351</v>
      </c>
      <c r="E30" s="136"/>
      <c r="F30" s="136"/>
      <c r="G30" s="136"/>
      <c r="H30" s="156"/>
      <c r="I30" s="159">
        <v>0</v>
      </c>
      <c r="J30" s="157"/>
      <c r="K30" s="158"/>
    </row>
    <row r="31" spans="1:11" x14ac:dyDescent="0.25">
      <c r="A31" s="136"/>
      <c r="B31" s="154"/>
      <c r="C31" s="155" t="s">
        <v>161</v>
      </c>
      <c r="D31" s="136" t="s">
        <v>352</v>
      </c>
      <c r="E31" s="136"/>
      <c r="F31" s="136"/>
      <c r="G31" s="136"/>
      <c r="H31" s="156"/>
      <c r="I31" s="156"/>
      <c r="J31" s="157"/>
      <c r="K31" s="158"/>
    </row>
    <row r="32" spans="1:11" x14ac:dyDescent="0.25">
      <c r="A32" s="136"/>
      <c r="B32" s="154"/>
      <c r="C32" s="155" t="s">
        <v>163</v>
      </c>
      <c r="D32" s="136" t="s">
        <v>353</v>
      </c>
      <c r="E32" s="136"/>
      <c r="F32" s="136"/>
      <c r="G32" s="136"/>
      <c r="H32" s="156"/>
      <c r="I32" s="156"/>
      <c r="J32" s="157"/>
      <c r="K32" s="158"/>
    </row>
    <row r="33" spans="1:11" x14ac:dyDescent="0.25">
      <c r="A33" s="136"/>
      <c r="B33" s="154"/>
      <c r="C33" s="155" t="s">
        <v>218</v>
      </c>
      <c r="D33" s="136" t="s">
        <v>354</v>
      </c>
      <c r="E33" s="136"/>
      <c r="F33" s="136"/>
      <c r="G33" s="136"/>
      <c r="H33" s="156"/>
      <c r="I33" s="156"/>
      <c r="J33" s="157"/>
      <c r="K33" s="158"/>
    </row>
    <row r="34" spans="1:11" x14ac:dyDescent="0.25">
      <c r="A34" s="136"/>
      <c r="B34" s="154"/>
      <c r="C34" s="155" t="s">
        <v>355</v>
      </c>
      <c r="D34" s="136" t="s">
        <v>356</v>
      </c>
      <c r="E34" s="136"/>
      <c r="F34" s="136"/>
      <c r="G34" s="136"/>
      <c r="H34" s="156"/>
      <c r="I34" s="156"/>
      <c r="J34" s="157"/>
      <c r="K34" s="158"/>
    </row>
    <row r="35" spans="1:11" x14ac:dyDescent="0.25">
      <c r="A35" s="136"/>
      <c r="B35" s="160"/>
      <c r="C35" s="161" t="s">
        <v>357</v>
      </c>
      <c r="D35" s="138" t="s">
        <v>12</v>
      </c>
      <c r="E35" s="138"/>
      <c r="F35" s="138"/>
      <c r="G35" s="138"/>
      <c r="H35" s="162">
        <f>SUM(H27:H34)</f>
        <v>315</v>
      </c>
      <c r="I35" s="162">
        <f>SUM(I27:I34)</f>
        <v>85</v>
      </c>
      <c r="J35" s="157"/>
      <c r="K35" s="158"/>
    </row>
    <row r="36" spans="1:11" x14ac:dyDescent="0.25">
      <c r="A36" s="136"/>
      <c r="B36" s="154"/>
      <c r="C36" s="155" t="s">
        <v>358</v>
      </c>
      <c r="D36" s="163" t="s">
        <v>359</v>
      </c>
      <c r="E36" s="136"/>
      <c r="F36" s="136"/>
      <c r="G36" s="136"/>
      <c r="H36" s="156"/>
      <c r="I36" s="156"/>
      <c r="J36" s="157"/>
      <c r="K36" s="158"/>
    </row>
    <row r="37" spans="1:11" x14ac:dyDescent="0.25">
      <c r="A37" s="136"/>
      <c r="B37" s="154"/>
      <c r="C37" s="155" t="s">
        <v>360</v>
      </c>
      <c r="D37" s="163" t="s">
        <v>361</v>
      </c>
      <c r="E37" s="136"/>
      <c r="F37" s="136"/>
      <c r="G37" s="136"/>
      <c r="H37" s="156"/>
      <c r="I37" s="156"/>
      <c r="J37" s="157"/>
      <c r="K37" s="158"/>
    </row>
    <row r="38" spans="1:11" x14ac:dyDescent="0.25">
      <c r="A38" s="136"/>
      <c r="B38" s="164"/>
      <c r="C38" s="165"/>
      <c r="D38" s="143"/>
      <c r="E38" s="143"/>
      <c r="F38" s="143"/>
      <c r="G38" s="143"/>
      <c r="H38" s="143"/>
      <c r="I38" s="144"/>
      <c r="J38" s="151"/>
      <c r="K38" s="136"/>
    </row>
    <row r="39" spans="1:11" x14ac:dyDescent="0.25">
      <c r="A39" s="136"/>
      <c r="B39" s="155"/>
      <c r="C39" s="155"/>
      <c r="D39" s="136"/>
      <c r="E39" s="136"/>
      <c r="F39" s="136"/>
      <c r="G39" s="136"/>
      <c r="H39" s="136"/>
      <c r="I39" s="136"/>
      <c r="J39" s="136"/>
      <c r="K39" s="136"/>
    </row>
    <row r="40" spans="1:11" x14ac:dyDescent="0.25">
      <c r="A40" s="136"/>
      <c r="B40" s="203" t="s">
        <v>362</v>
      </c>
      <c r="C40" s="203"/>
      <c r="D40" s="203"/>
      <c r="E40" s="203"/>
      <c r="F40" s="203"/>
      <c r="G40" s="203"/>
      <c r="H40" s="203"/>
      <c r="I40" s="203"/>
      <c r="J40" s="203"/>
      <c r="K40" s="136"/>
    </row>
    <row r="41" spans="1:11" x14ac:dyDescent="0.25">
      <c r="A41" s="136"/>
      <c r="B41" s="166"/>
      <c r="C41" s="155"/>
      <c r="D41" s="136"/>
      <c r="E41" s="136"/>
      <c r="F41" s="136"/>
      <c r="G41" s="136"/>
      <c r="H41" s="136"/>
      <c r="I41" s="136"/>
      <c r="J41" s="141"/>
      <c r="K41" s="136"/>
    </row>
    <row r="42" spans="1:11" x14ac:dyDescent="0.25">
      <c r="A42" s="136"/>
      <c r="B42" s="154"/>
      <c r="C42" s="155"/>
      <c r="D42" s="138" t="s">
        <v>363</v>
      </c>
      <c r="E42" s="136"/>
      <c r="F42" s="136"/>
      <c r="G42" s="136"/>
      <c r="H42" s="136"/>
      <c r="I42" s="152" t="s">
        <v>345</v>
      </c>
      <c r="J42" s="141"/>
      <c r="K42" s="136"/>
    </row>
    <row r="43" spans="1:11" x14ac:dyDescent="0.25">
      <c r="A43" s="136"/>
      <c r="B43" s="154"/>
      <c r="C43" s="155"/>
      <c r="D43" s="136"/>
      <c r="E43" s="136"/>
      <c r="F43" s="136"/>
      <c r="G43" s="136"/>
      <c r="H43" s="148" t="s">
        <v>346</v>
      </c>
      <c r="I43" s="153" t="s">
        <v>347</v>
      </c>
      <c r="J43" s="141"/>
      <c r="K43" s="136"/>
    </row>
    <row r="44" spans="1:11" x14ac:dyDescent="0.25">
      <c r="A44" s="136"/>
      <c r="B44" s="154"/>
      <c r="C44" s="155" t="s">
        <v>364</v>
      </c>
      <c r="D44" s="136" t="s">
        <v>365</v>
      </c>
      <c r="E44" s="136"/>
      <c r="F44" s="136"/>
      <c r="G44" s="136"/>
      <c r="H44" s="156"/>
      <c r="I44" s="101">
        <v>0</v>
      </c>
      <c r="J44" s="141"/>
      <c r="K44" s="136"/>
    </row>
    <row r="45" spans="1:11" x14ac:dyDescent="0.25">
      <c r="A45" s="136"/>
      <c r="B45" s="154"/>
      <c r="C45" s="155" t="s">
        <v>366</v>
      </c>
      <c r="D45" s="136" t="s">
        <v>367</v>
      </c>
      <c r="E45" s="136"/>
      <c r="F45" s="136"/>
      <c r="G45" s="136"/>
      <c r="H45" s="156"/>
      <c r="I45" s="156"/>
      <c r="J45" s="157"/>
      <c r="K45" s="158" t="str">
        <f>IF(ABS(H45*0.05-I45)&gt;0.5,"HIBA!","")</f>
        <v/>
      </c>
    </row>
    <row r="46" spans="1:11" x14ac:dyDescent="0.25">
      <c r="A46" s="136"/>
      <c r="B46" s="154"/>
      <c r="C46" s="155" t="s">
        <v>368</v>
      </c>
      <c r="D46" s="136" t="s">
        <v>369</v>
      </c>
      <c r="E46" s="136"/>
      <c r="F46" s="136"/>
      <c r="G46" s="136"/>
      <c r="H46" s="156"/>
      <c r="I46" s="156"/>
      <c r="J46" s="157"/>
      <c r="K46" s="158" t="str">
        <f>IF(ABS(H46*0.18-I46)&gt;0.5,"HIBA!","")</f>
        <v/>
      </c>
    </row>
    <row r="47" spans="1:11" x14ac:dyDescent="0.25">
      <c r="A47" s="136"/>
      <c r="B47" s="154"/>
      <c r="C47" s="155" t="s">
        <v>370</v>
      </c>
      <c r="D47" s="136" t="s">
        <v>371</v>
      </c>
      <c r="E47" s="136"/>
      <c r="F47" s="136"/>
      <c r="G47" s="136"/>
      <c r="H47" s="156">
        <v>321</v>
      </c>
      <c r="I47" s="156">
        <v>87</v>
      </c>
      <c r="J47" s="157"/>
      <c r="K47" s="158" t="str">
        <f>IF(ABS(H47*0.27-I47)&gt;0.5,"HIBA!","")</f>
        <v/>
      </c>
    </row>
    <row r="48" spans="1:11" x14ac:dyDescent="0.25">
      <c r="A48" s="136"/>
      <c r="B48" s="154"/>
      <c r="C48" s="155" t="s">
        <v>372</v>
      </c>
      <c r="D48" s="136" t="s">
        <v>373</v>
      </c>
      <c r="E48" s="136"/>
      <c r="F48" s="136"/>
      <c r="G48" s="136"/>
      <c r="H48" s="156"/>
      <c r="I48" s="156"/>
      <c r="J48" s="141"/>
      <c r="K48" s="136"/>
    </row>
    <row r="49" spans="1:11" x14ac:dyDescent="0.25">
      <c r="A49" s="136"/>
      <c r="B49" s="154"/>
      <c r="C49" s="155" t="s">
        <v>374</v>
      </c>
      <c r="D49" s="136" t="s">
        <v>375</v>
      </c>
      <c r="E49" s="136"/>
      <c r="F49" s="136"/>
      <c r="G49" s="136"/>
      <c r="H49" s="156"/>
      <c r="I49" s="156"/>
      <c r="J49" s="141"/>
      <c r="K49" s="136"/>
    </row>
    <row r="50" spans="1:11" x14ac:dyDescent="0.25">
      <c r="A50" s="136"/>
      <c r="B50" s="154"/>
      <c r="C50" s="155" t="s">
        <v>376</v>
      </c>
      <c r="D50" s="136" t="s">
        <v>352</v>
      </c>
      <c r="E50" s="136"/>
      <c r="F50" s="136"/>
      <c r="G50" s="136"/>
      <c r="H50" s="156"/>
      <c r="I50" s="156"/>
      <c r="J50" s="141"/>
      <c r="K50" s="136"/>
    </row>
    <row r="51" spans="1:11" x14ac:dyDescent="0.25">
      <c r="A51" s="136"/>
      <c r="B51" s="154"/>
      <c r="C51" s="155" t="s">
        <v>377</v>
      </c>
      <c r="D51" s="136" t="s">
        <v>356</v>
      </c>
      <c r="E51" s="136"/>
      <c r="F51" s="136"/>
      <c r="G51" s="136"/>
      <c r="H51" s="156"/>
      <c r="I51" s="156"/>
      <c r="J51" s="141"/>
      <c r="K51" s="136"/>
    </row>
    <row r="52" spans="1:11" x14ac:dyDescent="0.25">
      <c r="A52" s="136"/>
      <c r="B52" s="160"/>
      <c r="C52" s="161" t="s">
        <v>378</v>
      </c>
      <c r="D52" s="138" t="s">
        <v>12</v>
      </c>
      <c r="E52" s="138"/>
      <c r="F52" s="138"/>
      <c r="G52" s="138"/>
      <c r="H52" s="167">
        <f>SUM(H44:H51)</f>
        <v>321</v>
      </c>
      <c r="I52" s="167">
        <f>SUM(I44:I51)</f>
        <v>87</v>
      </c>
      <c r="J52" s="141"/>
      <c r="K52" s="136"/>
    </row>
    <row r="53" spans="1:11" x14ac:dyDescent="0.25">
      <c r="A53" s="136"/>
      <c r="B53" s="154"/>
      <c r="C53" s="155" t="s">
        <v>379</v>
      </c>
      <c r="D53" s="163" t="s">
        <v>380</v>
      </c>
      <c r="E53" s="136"/>
      <c r="F53" s="136"/>
      <c r="G53" s="136"/>
      <c r="H53" s="156"/>
      <c r="I53" s="156"/>
      <c r="J53" s="141"/>
      <c r="K53" s="136"/>
    </row>
    <row r="54" spans="1:11" x14ac:dyDescent="0.25">
      <c r="A54" s="136"/>
      <c r="B54" s="154"/>
      <c r="C54" s="155" t="s">
        <v>381</v>
      </c>
      <c r="D54" s="163" t="s">
        <v>382</v>
      </c>
      <c r="E54" s="136"/>
      <c r="F54" s="136"/>
      <c r="G54" s="136"/>
      <c r="H54" s="156"/>
      <c r="I54" s="156"/>
      <c r="J54" s="141"/>
      <c r="K54" s="136"/>
    </row>
    <row r="55" spans="1:11" x14ac:dyDescent="0.25">
      <c r="A55" s="136"/>
      <c r="B55" s="154"/>
      <c r="C55" s="155" t="s">
        <v>383</v>
      </c>
      <c r="D55" s="163" t="s">
        <v>384</v>
      </c>
      <c r="E55" s="136"/>
      <c r="F55" s="136"/>
      <c r="G55" s="136"/>
      <c r="H55" s="156"/>
      <c r="I55" s="156"/>
      <c r="J55" s="141"/>
      <c r="K55" s="136"/>
    </row>
    <row r="56" spans="1:11" x14ac:dyDescent="0.25">
      <c r="A56" s="136"/>
      <c r="B56" s="164"/>
      <c r="C56" s="165"/>
      <c r="D56" s="168"/>
      <c r="E56" s="143"/>
      <c r="F56" s="143"/>
      <c r="G56" s="143"/>
      <c r="H56" s="143"/>
      <c r="I56" s="144"/>
      <c r="J56" s="151"/>
      <c r="K56" s="136"/>
    </row>
    <row r="57" spans="1:11" x14ac:dyDescent="0.25">
      <c r="A57" s="136"/>
      <c r="B57" s="155"/>
      <c r="C57" s="155"/>
      <c r="D57" s="136"/>
      <c r="E57" s="136"/>
      <c r="F57" s="136"/>
      <c r="G57" s="136"/>
      <c r="H57" s="136"/>
      <c r="I57" s="136"/>
      <c r="J57" s="136"/>
      <c r="K57" s="136"/>
    </row>
    <row r="58" spans="1:11" x14ac:dyDescent="0.25">
      <c r="A58" s="136"/>
      <c r="B58" s="203" t="s">
        <v>385</v>
      </c>
      <c r="C58" s="203"/>
      <c r="D58" s="203"/>
      <c r="E58" s="203"/>
      <c r="F58" s="203"/>
      <c r="G58" s="203"/>
      <c r="H58" s="203"/>
      <c r="I58" s="203"/>
      <c r="J58" s="203"/>
      <c r="K58" s="136"/>
    </row>
    <row r="59" spans="1:11" x14ac:dyDescent="0.25">
      <c r="A59" s="136"/>
      <c r="B59" s="166"/>
      <c r="C59" s="155"/>
      <c r="D59" s="136"/>
      <c r="E59" s="136"/>
      <c r="F59" s="136"/>
      <c r="G59" s="136"/>
      <c r="H59" s="136"/>
      <c r="I59" s="136"/>
      <c r="J59" s="141"/>
      <c r="K59" s="136"/>
    </row>
    <row r="60" spans="1:11" x14ac:dyDescent="0.25">
      <c r="A60" s="136"/>
      <c r="B60" s="154"/>
      <c r="C60" s="155" t="s">
        <v>386</v>
      </c>
      <c r="D60" s="136" t="s">
        <v>387</v>
      </c>
      <c r="E60" s="136"/>
      <c r="F60" s="136"/>
      <c r="G60" s="136"/>
      <c r="H60" s="136"/>
      <c r="I60" s="156"/>
      <c r="J60" s="141"/>
      <c r="K60" s="136"/>
    </row>
    <row r="61" spans="1:11" x14ac:dyDescent="0.25">
      <c r="A61" s="136"/>
      <c r="B61" s="154"/>
      <c r="C61" s="155" t="s">
        <v>388</v>
      </c>
      <c r="D61" s="316" t="s">
        <v>389</v>
      </c>
      <c r="E61" s="316"/>
      <c r="F61" s="316"/>
      <c r="G61" s="316"/>
      <c r="H61" s="317"/>
      <c r="I61" s="167">
        <f>+I35-I52-I60</f>
        <v>-2</v>
      </c>
      <c r="J61" s="141"/>
      <c r="K61" s="136"/>
    </row>
    <row r="62" spans="1:11" x14ac:dyDescent="0.25">
      <c r="A62" s="136"/>
      <c r="B62" s="154"/>
      <c r="C62" s="155" t="s">
        <v>390</v>
      </c>
      <c r="D62" s="136" t="s">
        <v>391</v>
      </c>
      <c r="E62" s="136"/>
      <c r="F62" s="136"/>
      <c r="G62" s="136"/>
      <c r="H62" s="136"/>
      <c r="I62" s="156"/>
      <c r="J62" s="141"/>
      <c r="K62" s="136"/>
    </row>
    <row r="63" spans="1:11" x14ac:dyDescent="0.25">
      <c r="A63" s="136"/>
      <c r="B63" s="154"/>
      <c r="C63" s="155" t="s">
        <v>392</v>
      </c>
      <c r="D63" s="136" t="s">
        <v>393</v>
      </c>
      <c r="E63" s="136"/>
      <c r="F63" s="136"/>
      <c r="G63" s="136"/>
      <c r="H63" s="136"/>
      <c r="I63" s="156"/>
      <c r="J63" s="141"/>
      <c r="K63" s="136"/>
    </row>
    <row r="64" spans="1:11" x14ac:dyDescent="0.25">
      <c r="A64" s="136"/>
      <c r="B64" s="154"/>
      <c r="C64" s="155" t="s">
        <v>394</v>
      </c>
      <c r="D64" s="136" t="s">
        <v>395</v>
      </c>
      <c r="E64" s="136"/>
      <c r="F64" s="136"/>
      <c r="G64" s="136"/>
      <c r="H64" s="136"/>
      <c r="I64" s="156">
        <v>2</v>
      </c>
      <c r="J64" s="141"/>
      <c r="K64" s="136"/>
    </row>
    <row r="65" spans="1:11" x14ac:dyDescent="0.25">
      <c r="A65" s="136"/>
      <c r="B65" s="164"/>
      <c r="C65" s="165"/>
      <c r="D65" s="143"/>
      <c r="E65" s="143"/>
      <c r="F65" s="143"/>
      <c r="G65" s="143"/>
      <c r="H65" s="143"/>
      <c r="I65" s="144"/>
      <c r="J65" s="151"/>
      <c r="K65" s="136"/>
    </row>
    <row r="66" spans="1:11" x14ac:dyDescent="0.25">
      <c r="A66" s="136"/>
      <c r="B66" s="155"/>
      <c r="C66" s="155"/>
      <c r="D66" s="136"/>
      <c r="E66" s="136"/>
      <c r="F66" s="136"/>
      <c r="G66" s="136"/>
      <c r="H66" s="136"/>
      <c r="I66" s="136"/>
      <c r="J66" s="136"/>
      <c r="K66" s="136"/>
    </row>
    <row r="67" spans="1:11" hidden="1" x14ac:dyDescent="0.25">
      <c r="B67" s="169"/>
      <c r="C67" s="169"/>
    </row>
    <row r="68" spans="1:11" hidden="1" x14ac:dyDescent="0.25">
      <c r="B68" s="169"/>
      <c r="C68" s="169"/>
    </row>
    <row r="69" spans="1:11" hidden="1" x14ac:dyDescent="0.25"/>
  </sheetData>
  <sheetProtection algorithmName="SHA-512" hashValue="V8nzMF4nZSwcg++fqQ3BtrW/n6gdPOMD7zQplrFcyEHqP4r+iVGKkky+Y3Nib9cQRi+9RuC/IZirZcY0fkxj5Q==" saltValue="Ehi4smWzKMz7OBbzkLVI9w==" spinCount="100000" sheet="1" objects="1" scenarios="1"/>
  <mergeCells count="15">
    <mergeCell ref="E9:F9"/>
    <mergeCell ref="C1:E1"/>
    <mergeCell ref="F1:I1"/>
    <mergeCell ref="B3:J3"/>
    <mergeCell ref="E5:G5"/>
    <mergeCell ref="E7:I7"/>
    <mergeCell ref="B40:J40"/>
    <mergeCell ref="B58:J58"/>
    <mergeCell ref="D61:H61"/>
    <mergeCell ref="E12:F12"/>
    <mergeCell ref="E15:H15"/>
    <mergeCell ref="C19:D19"/>
    <mergeCell ref="F19:G19"/>
    <mergeCell ref="F20:G20"/>
    <mergeCell ref="B23:J23"/>
  </mergeCell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47B9F-10AD-4945-8941-EC91625E2CDD}">
  <dimension ref="A1:K66"/>
  <sheetViews>
    <sheetView workbookViewId="0">
      <selection activeCell="E14" sqref="E14:F14"/>
    </sheetView>
  </sheetViews>
  <sheetFormatPr defaultColWidth="0" defaultRowHeight="15" zeroHeight="1" x14ac:dyDescent="0.25"/>
  <cols>
    <col min="1" max="1" width="6.85546875" customWidth="1"/>
    <col min="2" max="3" width="3.5703125" customWidth="1"/>
    <col min="4" max="4" width="35.85546875" customWidth="1"/>
    <col min="5" max="5" width="9.140625" customWidth="1"/>
    <col min="6" max="6" width="10.28515625" customWidth="1"/>
    <col min="7" max="7" width="12.85546875" customWidth="1"/>
    <col min="8" max="9" width="17.7109375" customWidth="1"/>
    <col min="10" max="10" width="3.5703125" customWidth="1"/>
    <col min="11" max="11" width="8.85546875" customWidth="1"/>
    <col min="12" max="16384" width="8.85546875" hidden="1"/>
  </cols>
  <sheetData>
    <row r="1" spans="1:11" ht="27.6" customHeight="1" x14ac:dyDescent="0.3">
      <c r="A1" s="136"/>
      <c r="B1" s="137"/>
      <c r="C1" s="321" t="s">
        <v>437</v>
      </c>
      <c r="D1" s="321"/>
      <c r="E1" s="321"/>
      <c r="F1" s="321"/>
      <c r="G1" s="321"/>
      <c r="H1" s="321"/>
      <c r="I1" s="321"/>
      <c r="J1" s="136"/>
      <c r="K1" s="136"/>
    </row>
    <row r="2" spans="1:11" ht="27.6" customHeight="1" x14ac:dyDescent="0.3">
      <c r="A2" s="136"/>
      <c r="B2" s="137"/>
      <c r="C2" s="322" t="s">
        <v>438</v>
      </c>
      <c r="D2" s="322"/>
      <c r="E2" s="322"/>
      <c r="F2" s="322"/>
      <c r="G2" s="322"/>
      <c r="H2" s="322"/>
      <c r="I2" s="322"/>
      <c r="J2" s="136"/>
      <c r="K2" s="136"/>
    </row>
    <row r="3" spans="1:11" x14ac:dyDescent="0.25">
      <c r="A3" s="136"/>
      <c r="B3" s="203" t="s">
        <v>330</v>
      </c>
      <c r="C3" s="203"/>
      <c r="D3" s="203"/>
      <c r="E3" s="203"/>
      <c r="F3" s="203"/>
      <c r="G3" s="203"/>
      <c r="H3" s="203"/>
      <c r="I3" s="203"/>
      <c r="J3" s="203"/>
      <c r="K3" s="136"/>
    </row>
    <row r="4" spans="1:11" x14ac:dyDescent="0.25">
      <c r="A4" s="136"/>
      <c r="B4" s="139"/>
      <c r="C4" s="136"/>
      <c r="D4" s="140"/>
      <c r="E4" s="140"/>
      <c r="F4" s="140"/>
      <c r="G4" s="140"/>
      <c r="H4" s="140"/>
      <c r="I4" s="140"/>
      <c r="J4" s="141"/>
      <c r="K4" s="136"/>
    </row>
    <row r="5" spans="1:11" x14ac:dyDescent="0.25">
      <c r="A5" s="136"/>
      <c r="B5" s="142"/>
      <c r="C5" s="136" t="s">
        <v>331</v>
      </c>
      <c r="D5" s="141"/>
      <c r="E5" s="219" t="s">
        <v>396</v>
      </c>
      <c r="F5" s="220"/>
      <c r="G5" s="221"/>
      <c r="H5" s="136"/>
      <c r="I5" s="136"/>
      <c r="J5" s="141"/>
      <c r="K5" s="136"/>
    </row>
    <row r="6" spans="1:11" x14ac:dyDescent="0.25">
      <c r="A6" s="136"/>
      <c r="B6" s="142"/>
      <c r="C6" s="136"/>
      <c r="D6" s="136"/>
      <c r="E6" s="136"/>
      <c r="F6" s="136"/>
      <c r="G6" s="136"/>
      <c r="H6" s="136"/>
      <c r="I6" s="143"/>
      <c r="J6" s="141"/>
      <c r="K6" s="136"/>
    </row>
    <row r="7" spans="1:11" x14ac:dyDescent="0.25">
      <c r="A7" s="136"/>
      <c r="B7" s="142"/>
      <c r="C7" s="136" t="s">
        <v>332</v>
      </c>
      <c r="D7" s="141"/>
      <c r="E7" s="219" t="s">
        <v>126</v>
      </c>
      <c r="F7" s="220"/>
      <c r="G7" s="220"/>
      <c r="H7" s="220"/>
      <c r="I7" s="221"/>
      <c r="J7" s="141"/>
      <c r="K7" s="136"/>
    </row>
    <row r="8" spans="1:11" x14ac:dyDescent="0.25">
      <c r="A8" s="136"/>
      <c r="B8" s="142"/>
      <c r="C8" s="136"/>
      <c r="D8" s="136"/>
      <c r="E8" s="136"/>
      <c r="F8" s="136"/>
      <c r="G8" s="136"/>
      <c r="H8" s="136"/>
      <c r="I8" s="144"/>
      <c r="J8" s="141"/>
      <c r="K8" s="136"/>
    </row>
    <row r="9" spans="1:11" x14ac:dyDescent="0.25">
      <c r="A9" s="136"/>
      <c r="B9" s="142"/>
      <c r="C9" s="136" t="s">
        <v>439</v>
      </c>
      <c r="D9" s="141"/>
      <c r="E9" s="219" t="s">
        <v>140</v>
      </c>
      <c r="F9" s="220"/>
      <c r="G9" s="220"/>
      <c r="H9" s="220"/>
      <c r="I9" s="221"/>
      <c r="J9" s="141"/>
      <c r="K9" s="136"/>
    </row>
    <row r="10" spans="1:11" x14ac:dyDescent="0.25">
      <c r="A10" s="136"/>
      <c r="B10" s="142"/>
      <c r="C10" s="136"/>
      <c r="D10" s="136"/>
      <c r="E10" s="136"/>
      <c r="F10" s="136"/>
      <c r="G10" s="136"/>
      <c r="H10" s="136"/>
      <c r="I10" s="144"/>
      <c r="J10" s="141"/>
      <c r="K10" s="136"/>
    </row>
    <row r="11" spans="1:11" x14ac:dyDescent="0.25">
      <c r="A11" s="136"/>
      <c r="B11" s="142"/>
      <c r="C11" s="136" t="s">
        <v>333</v>
      </c>
      <c r="D11" s="141"/>
      <c r="E11" s="219" t="s">
        <v>117</v>
      </c>
      <c r="F11" s="221"/>
      <c r="G11" s="136"/>
      <c r="H11" s="136" t="s">
        <v>334</v>
      </c>
      <c r="I11" s="183" t="s">
        <v>397</v>
      </c>
      <c r="J11" s="141"/>
      <c r="K11" s="136"/>
    </row>
    <row r="12" spans="1:11" x14ac:dyDescent="0.25">
      <c r="A12" s="136"/>
      <c r="B12" s="142"/>
      <c r="C12" s="136"/>
      <c r="D12" s="136"/>
      <c r="E12" s="136"/>
      <c r="F12" s="136"/>
      <c r="G12" s="136"/>
      <c r="H12" s="136"/>
      <c r="I12" s="145"/>
      <c r="J12" s="141"/>
      <c r="K12" s="136"/>
    </row>
    <row r="13" spans="1:11" x14ac:dyDescent="0.25">
      <c r="A13" s="136"/>
      <c r="B13" s="142"/>
      <c r="C13" s="136" t="s">
        <v>335</v>
      </c>
      <c r="D13" s="136"/>
      <c r="E13" s="136" t="s">
        <v>336</v>
      </c>
      <c r="F13" s="136"/>
      <c r="G13" s="136"/>
      <c r="H13" s="136" t="s">
        <v>337</v>
      </c>
      <c r="I13" s="136"/>
      <c r="J13" s="141"/>
      <c r="K13" s="136"/>
    </row>
    <row r="14" spans="1:11" x14ac:dyDescent="0.25">
      <c r="A14" s="136"/>
      <c r="B14" s="142"/>
      <c r="C14" s="136"/>
      <c r="D14" s="136"/>
      <c r="E14" s="324">
        <v>45962</v>
      </c>
      <c r="F14" s="221"/>
      <c r="G14" s="136"/>
      <c r="H14" s="184">
        <v>45991</v>
      </c>
      <c r="I14" s="136"/>
      <c r="J14" s="141"/>
      <c r="K14" s="136"/>
    </row>
    <row r="15" spans="1:11" x14ac:dyDescent="0.25">
      <c r="A15" s="136"/>
      <c r="B15" s="142"/>
      <c r="C15" s="136"/>
      <c r="D15" s="136"/>
      <c r="E15" s="136"/>
      <c r="F15" s="136"/>
      <c r="G15" s="136"/>
      <c r="H15" s="136"/>
      <c r="I15" s="136"/>
      <c r="J15" s="141"/>
      <c r="K15" s="136"/>
    </row>
    <row r="16" spans="1:11" x14ac:dyDescent="0.25">
      <c r="A16" s="136"/>
      <c r="B16" s="142"/>
      <c r="C16" s="136" t="s">
        <v>440</v>
      </c>
      <c r="D16" s="136"/>
      <c r="E16" s="136"/>
      <c r="F16" s="156">
        <v>4</v>
      </c>
      <c r="G16" s="136"/>
      <c r="H16" s="136"/>
      <c r="I16" s="136"/>
      <c r="J16" s="141"/>
      <c r="K16" s="136"/>
    </row>
    <row r="17" spans="1:11" x14ac:dyDescent="0.25">
      <c r="A17" s="136"/>
      <c r="B17" s="142"/>
      <c r="C17" s="136"/>
      <c r="D17" s="136"/>
      <c r="E17" s="136"/>
      <c r="F17" s="136"/>
      <c r="G17" s="136"/>
      <c r="H17" s="136"/>
      <c r="I17" s="136"/>
      <c r="J17" s="141"/>
      <c r="K17" s="136"/>
    </row>
    <row r="18" spans="1:11" x14ac:dyDescent="0.25">
      <c r="A18" s="136"/>
      <c r="B18" s="142"/>
      <c r="C18" s="136"/>
      <c r="D18" s="136"/>
      <c r="E18" s="136"/>
      <c r="F18" s="136"/>
      <c r="G18" s="136"/>
      <c r="H18" s="136"/>
      <c r="I18" s="136"/>
      <c r="J18" s="141"/>
      <c r="K18" s="136"/>
    </row>
    <row r="19" spans="1:11" x14ac:dyDescent="0.25">
      <c r="A19" s="136"/>
      <c r="B19" s="142"/>
      <c r="C19" s="136" t="s">
        <v>339</v>
      </c>
      <c r="D19" s="136"/>
      <c r="E19" s="136"/>
      <c r="F19" s="136"/>
      <c r="G19" s="136"/>
      <c r="H19" s="136"/>
      <c r="I19" s="136"/>
      <c r="J19" s="141"/>
      <c r="K19" s="136"/>
    </row>
    <row r="20" spans="1:11" x14ac:dyDescent="0.25">
      <c r="A20" s="136"/>
      <c r="B20" s="142"/>
      <c r="C20" s="136"/>
      <c r="D20" s="136"/>
      <c r="E20" s="136"/>
      <c r="F20" s="136"/>
      <c r="G20" s="136"/>
      <c r="H20" s="136"/>
      <c r="I20" s="143"/>
      <c r="J20" s="141"/>
      <c r="K20" s="136"/>
    </row>
    <row r="21" spans="1:11" x14ac:dyDescent="0.25">
      <c r="A21" s="136"/>
      <c r="B21" s="142"/>
      <c r="C21" s="219" t="s">
        <v>398</v>
      </c>
      <c r="D21" s="221"/>
      <c r="E21" s="136"/>
      <c r="F21" s="324">
        <v>46003</v>
      </c>
      <c r="G21" s="221"/>
      <c r="H21" s="136"/>
      <c r="I21" s="147" t="s">
        <v>158</v>
      </c>
      <c r="J21" s="141"/>
      <c r="K21" s="136"/>
    </row>
    <row r="22" spans="1:11" x14ac:dyDescent="0.25">
      <c r="A22" s="136"/>
      <c r="B22" s="142"/>
      <c r="C22" s="136"/>
      <c r="D22" s="148" t="s">
        <v>340</v>
      </c>
      <c r="E22" s="136"/>
      <c r="F22" s="320" t="s">
        <v>341</v>
      </c>
      <c r="G22" s="320"/>
      <c r="H22" s="136"/>
      <c r="I22" s="149" t="s">
        <v>342</v>
      </c>
      <c r="J22" s="141"/>
      <c r="K22" s="136"/>
    </row>
    <row r="23" spans="1:11" x14ac:dyDescent="0.25">
      <c r="A23" s="136"/>
      <c r="B23" s="150"/>
      <c r="C23" s="143"/>
      <c r="D23" s="143"/>
      <c r="E23" s="143"/>
      <c r="F23" s="143"/>
      <c r="G23" s="143"/>
      <c r="H23" s="143"/>
      <c r="I23" s="143"/>
      <c r="J23" s="151"/>
      <c r="K23" s="136"/>
    </row>
    <row r="24" spans="1:11" x14ac:dyDescent="0.25">
      <c r="A24" s="136"/>
      <c r="B24" s="136"/>
      <c r="C24" s="136"/>
      <c r="D24" s="136"/>
      <c r="E24" s="136"/>
      <c r="F24" s="136"/>
      <c r="G24" s="136"/>
      <c r="H24" s="136"/>
      <c r="I24" s="136"/>
      <c r="J24" s="136"/>
      <c r="K24" s="136"/>
    </row>
    <row r="25" spans="1:11" x14ac:dyDescent="0.25">
      <c r="A25" s="136"/>
      <c r="B25" s="203" t="s">
        <v>441</v>
      </c>
      <c r="C25" s="203"/>
      <c r="D25" s="203"/>
      <c r="E25" s="203"/>
      <c r="F25" s="203"/>
      <c r="G25" s="203"/>
      <c r="H25" s="203"/>
      <c r="I25" s="203"/>
      <c r="J25" s="203"/>
      <c r="K25" s="136"/>
    </row>
    <row r="26" spans="1:11" x14ac:dyDescent="0.25">
      <c r="A26" s="136"/>
      <c r="B26" s="139"/>
      <c r="C26" s="136"/>
      <c r="D26" s="136"/>
      <c r="E26" s="136"/>
      <c r="F26" s="136"/>
      <c r="G26" s="136"/>
      <c r="H26" s="136"/>
      <c r="I26" s="136"/>
      <c r="J26" s="141"/>
      <c r="K26" s="136"/>
    </row>
    <row r="27" spans="1:11" x14ac:dyDescent="0.25">
      <c r="A27" s="136"/>
      <c r="B27" s="142"/>
      <c r="C27" s="136"/>
      <c r="D27" s="138"/>
      <c r="E27" s="136"/>
      <c r="F27" s="136"/>
      <c r="G27" s="136"/>
      <c r="H27" s="136"/>
      <c r="I27" s="152" t="s">
        <v>345</v>
      </c>
      <c r="J27" s="141"/>
      <c r="K27" s="136"/>
    </row>
    <row r="28" spans="1:11" x14ac:dyDescent="0.25">
      <c r="A28" s="136"/>
      <c r="B28" s="142"/>
      <c r="C28" s="136"/>
      <c r="D28" s="136"/>
      <c r="E28" s="136"/>
      <c r="F28" s="136"/>
      <c r="G28" s="136"/>
      <c r="H28" s="148"/>
      <c r="I28" s="153" t="s">
        <v>347</v>
      </c>
      <c r="J28" s="141"/>
      <c r="K28" s="136"/>
    </row>
    <row r="29" spans="1:11" x14ac:dyDescent="0.25">
      <c r="A29" s="136"/>
      <c r="B29" s="154"/>
      <c r="C29" s="161" t="s">
        <v>125</v>
      </c>
      <c r="D29" s="138" t="s">
        <v>442</v>
      </c>
      <c r="E29" s="138"/>
      <c r="F29" s="138"/>
      <c r="G29" s="138"/>
      <c r="H29" s="140">
        <v>103</v>
      </c>
      <c r="I29" s="178">
        <f>SUM(I30:I34)</f>
        <v>98</v>
      </c>
      <c r="J29" s="157"/>
      <c r="K29" s="158"/>
    </row>
    <row r="30" spans="1:11" x14ac:dyDescent="0.25">
      <c r="A30" s="136"/>
      <c r="B30" s="154"/>
      <c r="C30" s="155" t="s">
        <v>128</v>
      </c>
      <c r="D30" s="163" t="s">
        <v>443</v>
      </c>
      <c r="E30" s="325"/>
      <c r="F30" s="325"/>
      <c r="G30" s="325"/>
      <c r="H30" s="140">
        <v>103</v>
      </c>
      <c r="I30" s="156">
        <v>98</v>
      </c>
      <c r="J30" s="157"/>
      <c r="K30" s="158"/>
    </row>
    <row r="31" spans="1:11" x14ac:dyDescent="0.25">
      <c r="A31" s="136"/>
      <c r="B31" s="154"/>
      <c r="C31" s="155" t="s">
        <v>132</v>
      </c>
      <c r="D31" s="136" t="s">
        <v>444</v>
      </c>
      <c r="E31" s="136"/>
      <c r="F31" s="136"/>
      <c r="G31" s="136"/>
      <c r="H31" s="140">
        <v>103</v>
      </c>
      <c r="I31" s="156"/>
      <c r="J31" s="157"/>
      <c r="K31" s="158"/>
    </row>
    <row r="32" spans="1:11" x14ac:dyDescent="0.25">
      <c r="A32" s="136"/>
      <c r="B32" s="154"/>
      <c r="C32" s="155" t="s">
        <v>147</v>
      </c>
      <c r="D32" s="136" t="s">
        <v>445</v>
      </c>
      <c r="E32" s="136"/>
      <c r="F32" s="136"/>
      <c r="G32" s="136"/>
      <c r="H32" s="140">
        <v>103</v>
      </c>
      <c r="I32" s="156"/>
      <c r="J32" s="157"/>
      <c r="K32" s="158"/>
    </row>
    <row r="33" spans="1:11" x14ac:dyDescent="0.25">
      <c r="A33" s="136"/>
      <c r="B33" s="154"/>
      <c r="C33" s="155" t="s">
        <v>161</v>
      </c>
      <c r="D33" s="136" t="s">
        <v>446</v>
      </c>
      <c r="E33" s="136"/>
      <c r="F33" s="136"/>
      <c r="G33" s="136"/>
      <c r="H33" s="140">
        <v>103</v>
      </c>
      <c r="I33" s="156"/>
      <c r="J33" s="157"/>
      <c r="K33" s="158"/>
    </row>
    <row r="34" spans="1:11" x14ac:dyDescent="0.25">
      <c r="A34" s="136"/>
      <c r="B34" s="154"/>
      <c r="C34" s="155" t="s">
        <v>163</v>
      </c>
      <c r="D34" s="136" t="s">
        <v>447</v>
      </c>
      <c r="E34" s="136"/>
      <c r="F34" s="136"/>
      <c r="G34" s="136"/>
      <c r="H34" s="140">
        <v>103</v>
      </c>
      <c r="I34" s="156"/>
      <c r="J34" s="157"/>
      <c r="K34" s="158"/>
    </row>
    <row r="35" spans="1:11" x14ac:dyDescent="0.25">
      <c r="A35" s="136"/>
      <c r="B35" s="154"/>
      <c r="C35" s="161" t="s">
        <v>218</v>
      </c>
      <c r="D35" s="138" t="s">
        <v>448</v>
      </c>
      <c r="E35" s="138"/>
      <c r="F35" s="138"/>
      <c r="G35" s="138"/>
      <c r="H35" s="140">
        <v>290</v>
      </c>
      <c r="I35" s="178">
        <f>+SUM(I36:I41)</f>
        <v>0</v>
      </c>
      <c r="J35" s="157"/>
      <c r="K35" s="158"/>
    </row>
    <row r="36" spans="1:11" x14ac:dyDescent="0.25">
      <c r="A36" s="136"/>
      <c r="B36" s="154"/>
      <c r="C36" s="155" t="s">
        <v>355</v>
      </c>
      <c r="D36" s="136" t="s">
        <v>449</v>
      </c>
      <c r="E36" s="136"/>
      <c r="F36" s="136"/>
      <c r="G36" s="136"/>
      <c r="H36" s="140">
        <v>290</v>
      </c>
      <c r="I36" s="156"/>
      <c r="J36" s="157"/>
      <c r="K36" s="158"/>
    </row>
    <row r="37" spans="1:11" x14ac:dyDescent="0.25">
      <c r="A37" s="136"/>
      <c r="B37" s="154"/>
      <c r="C37" s="155" t="s">
        <v>357</v>
      </c>
      <c r="D37" s="136" t="s">
        <v>450</v>
      </c>
      <c r="E37" s="136"/>
      <c r="F37" s="136"/>
      <c r="G37" s="136"/>
      <c r="H37" s="140">
        <v>290</v>
      </c>
      <c r="I37" s="156"/>
      <c r="J37" s="157"/>
      <c r="K37" s="158"/>
    </row>
    <row r="38" spans="1:11" x14ac:dyDescent="0.25">
      <c r="A38" s="136"/>
      <c r="B38" s="154"/>
      <c r="C38" s="155" t="s">
        <v>358</v>
      </c>
      <c r="D38" s="136" t="s">
        <v>451</v>
      </c>
      <c r="E38" s="136"/>
      <c r="F38" s="136"/>
      <c r="G38" s="136"/>
      <c r="H38" s="140">
        <v>290</v>
      </c>
      <c r="I38" s="156"/>
      <c r="J38" s="157"/>
      <c r="K38" s="158"/>
    </row>
    <row r="39" spans="1:11" x14ac:dyDescent="0.25">
      <c r="A39" s="136"/>
      <c r="B39" s="154"/>
      <c r="C39" s="155" t="s">
        <v>360</v>
      </c>
      <c r="D39" s="136" t="s">
        <v>452</v>
      </c>
      <c r="E39" s="136"/>
      <c r="F39" s="136"/>
      <c r="G39" s="136"/>
      <c r="H39" s="140">
        <v>290</v>
      </c>
      <c r="I39" s="156"/>
      <c r="J39" s="157"/>
      <c r="K39" s="158"/>
    </row>
    <row r="40" spans="1:11" x14ac:dyDescent="0.25">
      <c r="A40" s="136"/>
      <c r="B40" s="154"/>
      <c r="C40" s="155" t="s">
        <v>364</v>
      </c>
      <c r="D40" s="136" t="s">
        <v>453</v>
      </c>
      <c r="E40" s="136"/>
      <c r="F40" s="136"/>
      <c r="G40" s="136"/>
      <c r="H40" s="140">
        <v>290</v>
      </c>
      <c r="I40" s="156"/>
      <c r="J40" s="157"/>
      <c r="K40" s="158"/>
    </row>
    <row r="41" spans="1:11" x14ac:dyDescent="0.25">
      <c r="A41" s="136"/>
      <c r="B41" s="154"/>
      <c r="C41" s="155" t="s">
        <v>366</v>
      </c>
      <c r="D41" s="136" t="s">
        <v>454</v>
      </c>
      <c r="E41" s="136"/>
      <c r="F41" s="136"/>
      <c r="G41" s="136"/>
      <c r="H41" s="140">
        <v>290</v>
      </c>
      <c r="I41" s="156"/>
      <c r="J41" s="157"/>
      <c r="K41" s="158"/>
    </row>
    <row r="42" spans="1:11" x14ac:dyDescent="0.25">
      <c r="A42" s="136"/>
      <c r="B42" s="154"/>
      <c r="C42" s="161" t="s">
        <v>368</v>
      </c>
      <c r="D42" s="138" t="s">
        <v>455</v>
      </c>
      <c r="E42" s="138"/>
      <c r="F42" s="138"/>
      <c r="G42" s="138"/>
      <c r="H42" s="140">
        <v>152</v>
      </c>
      <c r="I42" s="178">
        <f>+I43+I44</f>
        <v>0</v>
      </c>
      <c r="J42" s="157"/>
      <c r="K42" s="158"/>
    </row>
    <row r="43" spans="1:11" x14ac:dyDescent="0.25">
      <c r="A43" s="136"/>
      <c r="B43" s="154"/>
      <c r="C43" s="155" t="s">
        <v>370</v>
      </c>
      <c r="D43" s="136" t="s">
        <v>456</v>
      </c>
      <c r="E43" s="136"/>
      <c r="F43" s="136"/>
      <c r="G43" s="136"/>
      <c r="H43" s="140">
        <v>152</v>
      </c>
      <c r="I43" s="156"/>
      <c r="J43" s="157"/>
      <c r="K43" s="158"/>
    </row>
    <row r="44" spans="1:11" x14ac:dyDescent="0.25">
      <c r="A44" s="136"/>
      <c r="B44" s="154"/>
      <c r="C44" s="155" t="s">
        <v>372</v>
      </c>
      <c r="D44" s="136" t="s">
        <v>457</v>
      </c>
      <c r="E44" s="136"/>
      <c r="F44" s="136"/>
      <c r="G44" s="136"/>
      <c r="H44" s="140">
        <v>152</v>
      </c>
      <c r="I44" s="156"/>
      <c r="J44" s="157"/>
      <c r="K44" s="158"/>
    </row>
    <row r="45" spans="1:11" x14ac:dyDescent="0.25">
      <c r="A45" s="136"/>
      <c r="B45" s="164"/>
      <c r="C45" s="165"/>
      <c r="D45" s="143"/>
      <c r="E45" s="143"/>
      <c r="F45" s="143"/>
      <c r="G45" s="143"/>
      <c r="H45" s="143"/>
      <c r="I45" s="144"/>
      <c r="J45" s="151"/>
      <c r="K45" s="136"/>
    </row>
    <row r="46" spans="1:11" x14ac:dyDescent="0.25">
      <c r="A46" s="136"/>
      <c r="B46" s="155"/>
      <c r="C46" s="155"/>
      <c r="D46" s="136"/>
      <c r="E46" s="136"/>
      <c r="F46" s="136"/>
      <c r="G46" s="136"/>
      <c r="H46" s="136"/>
      <c r="I46" s="136"/>
      <c r="J46" s="136"/>
      <c r="K46" s="136"/>
    </row>
    <row r="47" spans="1:11" x14ac:dyDescent="0.25">
      <c r="A47" s="136"/>
      <c r="B47" s="203" t="s">
        <v>458</v>
      </c>
      <c r="C47" s="203"/>
      <c r="D47" s="203"/>
      <c r="E47" s="203"/>
      <c r="F47" s="203"/>
      <c r="G47" s="203"/>
      <c r="H47" s="203"/>
      <c r="I47" s="203"/>
      <c r="J47" s="203"/>
      <c r="K47" s="136"/>
    </row>
    <row r="48" spans="1:11" x14ac:dyDescent="0.25">
      <c r="A48" s="136"/>
      <c r="B48" s="166"/>
      <c r="C48" s="155"/>
      <c r="D48" s="136"/>
      <c r="E48" s="136"/>
      <c r="F48" s="136"/>
      <c r="G48" s="136"/>
      <c r="H48" s="136"/>
      <c r="I48" s="136"/>
      <c r="J48" s="141"/>
      <c r="K48" s="136"/>
    </row>
    <row r="49" spans="1:11" x14ac:dyDescent="0.25">
      <c r="A49" s="136"/>
      <c r="B49" s="154"/>
      <c r="C49" s="155"/>
      <c r="D49" s="136"/>
      <c r="E49" s="136"/>
      <c r="F49" s="136"/>
      <c r="G49" s="136"/>
      <c r="H49" s="148"/>
      <c r="I49" s="152" t="s">
        <v>345</v>
      </c>
      <c r="J49" s="141"/>
      <c r="K49" s="136"/>
    </row>
    <row r="50" spans="1:11" x14ac:dyDescent="0.25">
      <c r="A50" s="136"/>
      <c r="B50" s="154"/>
      <c r="C50" s="326" t="s">
        <v>459</v>
      </c>
      <c r="D50" s="326"/>
      <c r="E50" s="136"/>
      <c r="F50" s="136"/>
      <c r="G50" s="136"/>
      <c r="H50" s="148"/>
      <c r="I50" s="153" t="s">
        <v>347</v>
      </c>
      <c r="J50" s="141"/>
      <c r="K50" s="136"/>
    </row>
    <row r="51" spans="1:11" x14ac:dyDescent="0.25">
      <c r="A51" s="136"/>
      <c r="B51" s="154"/>
      <c r="C51" s="155" t="s">
        <v>460</v>
      </c>
      <c r="D51" s="136" t="s">
        <v>461</v>
      </c>
      <c r="E51" s="136"/>
      <c r="F51" s="136"/>
      <c r="G51" s="136"/>
      <c r="H51" s="148"/>
      <c r="I51" s="156">
        <v>98</v>
      </c>
      <c r="J51" s="157"/>
      <c r="K51" s="158"/>
    </row>
    <row r="52" spans="1:11" x14ac:dyDescent="0.25">
      <c r="A52" s="136"/>
      <c r="B52" s="154"/>
      <c r="C52" s="155" t="s">
        <v>462</v>
      </c>
      <c r="D52" s="136" t="s">
        <v>463</v>
      </c>
      <c r="E52" s="136"/>
      <c r="F52" s="136"/>
      <c r="G52" s="136"/>
      <c r="H52" s="148"/>
      <c r="I52" s="156"/>
      <c r="J52" s="157"/>
      <c r="K52" s="158"/>
    </row>
    <row r="53" spans="1:11" x14ac:dyDescent="0.25">
      <c r="A53" s="136"/>
      <c r="B53" s="154"/>
      <c r="C53" s="155" t="s">
        <v>464</v>
      </c>
      <c r="D53" s="136" t="s">
        <v>465</v>
      </c>
      <c r="E53" s="136"/>
      <c r="F53" s="136"/>
      <c r="G53" s="136"/>
      <c r="H53" s="148"/>
      <c r="I53" s="156"/>
      <c r="J53" s="157"/>
      <c r="K53" s="158"/>
    </row>
    <row r="54" spans="1:11" x14ac:dyDescent="0.25">
      <c r="A54" s="136"/>
      <c r="B54" s="154"/>
      <c r="C54" s="161" t="s">
        <v>466</v>
      </c>
      <c r="D54" s="138" t="s">
        <v>467</v>
      </c>
      <c r="E54" s="136"/>
      <c r="F54" s="136"/>
      <c r="G54" s="136"/>
      <c r="H54" s="148"/>
      <c r="I54" s="167">
        <f>+SUM(I51:I53)</f>
        <v>98</v>
      </c>
      <c r="J54" s="141"/>
      <c r="K54" s="136"/>
    </row>
    <row r="55" spans="1:11" x14ac:dyDescent="0.25">
      <c r="A55" s="136"/>
      <c r="B55" s="154"/>
      <c r="C55" s="326"/>
      <c r="D55" s="326"/>
      <c r="E55" s="136"/>
      <c r="F55" s="136"/>
      <c r="G55" s="136"/>
      <c r="H55" s="148"/>
      <c r="I55" s="152"/>
      <c r="J55" s="141"/>
      <c r="K55" s="136"/>
    </row>
    <row r="56" spans="1:11" x14ac:dyDescent="0.25">
      <c r="A56" s="136"/>
      <c r="B56" s="154"/>
      <c r="C56" s="326" t="s">
        <v>468</v>
      </c>
      <c r="D56" s="326"/>
      <c r="E56" s="136"/>
      <c r="F56" s="136"/>
      <c r="G56" s="136"/>
      <c r="H56" s="148"/>
      <c r="I56" s="153" t="s">
        <v>347</v>
      </c>
      <c r="J56" s="141"/>
      <c r="K56" s="136"/>
    </row>
    <row r="57" spans="1:11" x14ac:dyDescent="0.25">
      <c r="A57" s="136"/>
      <c r="B57" s="154"/>
      <c r="C57" s="155" t="s">
        <v>469</v>
      </c>
      <c r="D57" s="136" t="s">
        <v>470</v>
      </c>
      <c r="E57" s="136"/>
      <c r="F57" s="136"/>
      <c r="G57" s="136"/>
      <c r="H57" s="148"/>
      <c r="I57" s="156">
        <v>85</v>
      </c>
      <c r="J57" s="141"/>
      <c r="K57" s="136"/>
    </row>
    <row r="58" spans="1:11" x14ac:dyDescent="0.25">
      <c r="A58" s="136"/>
      <c r="B58" s="154"/>
      <c r="C58" s="155" t="s">
        <v>471</v>
      </c>
      <c r="D58" s="136" t="s">
        <v>472</v>
      </c>
      <c r="E58" s="136"/>
      <c r="F58" s="136"/>
      <c r="G58" s="136"/>
      <c r="H58" s="148"/>
      <c r="I58" s="156"/>
      <c r="J58" s="141"/>
      <c r="K58" s="136"/>
    </row>
    <row r="59" spans="1:11" x14ac:dyDescent="0.25">
      <c r="A59" s="136"/>
      <c r="B59" s="160"/>
      <c r="C59" s="155" t="s">
        <v>473</v>
      </c>
      <c r="D59" s="136" t="s">
        <v>474</v>
      </c>
      <c r="E59" s="138"/>
      <c r="F59" s="138"/>
      <c r="G59" s="138"/>
      <c r="H59" s="148"/>
      <c r="I59" s="167">
        <f>+I57+I58</f>
        <v>85</v>
      </c>
      <c r="J59" s="141"/>
      <c r="K59" s="136"/>
    </row>
    <row r="60" spans="1:11" x14ac:dyDescent="0.25">
      <c r="A60" s="136"/>
      <c r="B60" s="160"/>
      <c r="C60" s="155"/>
      <c r="D60" s="136"/>
      <c r="E60" s="138"/>
      <c r="F60" s="138"/>
      <c r="G60" s="138"/>
      <c r="H60" s="148"/>
      <c r="I60" s="149"/>
      <c r="J60" s="141"/>
      <c r="K60" s="136"/>
    </row>
    <row r="61" spans="1:11" x14ac:dyDescent="0.25">
      <c r="A61" s="136"/>
      <c r="B61" s="154"/>
      <c r="C61" s="323" t="s">
        <v>475</v>
      </c>
      <c r="D61" s="323"/>
      <c r="E61" s="323"/>
      <c r="F61" s="323"/>
      <c r="G61" s="323"/>
      <c r="H61" s="179"/>
      <c r="I61" s="153" t="s">
        <v>347</v>
      </c>
      <c r="J61" s="141"/>
      <c r="K61" s="136"/>
    </row>
    <row r="62" spans="1:11" x14ac:dyDescent="0.25">
      <c r="A62" s="136"/>
      <c r="B62" s="154"/>
      <c r="C62" s="155" t="s">
        <v>476</v>
      </c>
      <c r="D62" s="136" t="s">
        <v>477</v>
      </c>
      <c r="E62" s="136"/>
      <c r="F62" s="136"/>
      <c r="G62" s="136"/>
      <c r="H62" s="148"/>
      <c r="I62" s="156">
        <v>120</v>
      </c>
      <c r="J62" s="141"/>
      <c r="K62" s="136"/>
    </row>
    <row r="63" spans="1:11" x14ac:dyDescent="0.25">
      <c r="A63" s="136"/>
      <c r="B63" s="164"/>
      <c r="C63" s="165"/>
      <c r="D63" s="143"/>
      <c r="E63" s="143"/>
      <c r="F63" s="143"/>
      <c r="G63" s="143"/>
      <c r="H63" s="143"/>
      <c r="I63" s="144"/>
      <c r="J63" s="151"/>
      <c r="K63" s="136"/>
    </row>
    <row r="64" spans="1:11" x14ac:dyDescent="0.25">
      <c r="A64" s="136"/>
      <c r="B64" s="155"/>
      <c r="C64" s="155"/>
      <c r="D64" s="136"/>
      <c r="E64" s="136"/>
      <c r="F64" s="136"/>
      <c r="G64" s="136"/>
      <c r="H64" s="136"/>
      <c r="I64" s="136"/>
      <c r="J64" s="136"/>
      <c r="K64" s="136"/>
    </row>
    <row r="65" spans="2:3" hidden="1" x14ac:dyDescent="0.25">
      <c r="B65" s="169"/>
      <c r="C65" s="169"/>
    </row>
    <row r="66" spans="2:3" hidden="1" x14ac:dyDescent="0.25">
      <c r="B66" s="169"/>
      <c r="C66" s="169"/>
    </row>
  </sheetData>
  <sheetProtection algorithmName="SHA-512" hashValue="1gYowDub7Tj4sLjNv9u6neH/4zJF5F1BsTiR0OzEJW5UwwBomJDfaGNvxYq3oZJOKewTg6J4TRaGDWTYTCxTaQ==" saltValue="sm50zqrSmgkuiMX3+poWog==" spinCount="100000" sheet="1" objects="1" scenarios="1"/>
  <mergeCells count="18">
    <mergeCell ref="C61:G61"/>
    <mergeCell ref="E11:F11"/>
    <mergeCell ref="E14:F14"/>
    <mergeCell ref="C21:D21"/>
    <mergeCell ref="F21:G21"/>
    <mergeCell ref="F22:G22"/>
    <mergeCell ref="B25:J25"/>
    <mergeCell ref="E30:G30"/>
    <mergeCell ref="B47:J47"/>
    <mergeCell ref="C50:D50"/>
    <mergeCell ref="C55:D55"/>
    <mergeCell ref="C56:D56"/>
    <mergeCell ref="E9:I9"/>
    <mergeCell ref="C1:I1"/>
    <mergeCell ref="C2:I2"/>
    <mergeCell ref="B3:J3"/>
    <mergeCell ref="E5:G5"/>
    <mergeCell ref="E7:I7"/>
  </mergeCells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531C8-6DBF-4604-9621-C6093136F9DE}">
  <dimension ref="A1:X133"/>
  <sheetViews>
    <sheetView topLeftCell="B1" workbookViewId="0">
      <selection activeCell="D21" sqref="D21"/>
    </sheetView>
  </sheetViews>
  <sheetFormatPr defaultColWidth="0" defaultRowHeight="15" zeroHeight="1" x14ac:dyDescent="0.25"/>
  <cols>
    <col min="1" max="1" width="6.85546875" customWidth="1"/>
    <col min="2" max="3" width="3.5703125" customWidth="1"/>
    <col min="4" max="4" width="43" customWidth="1"/>
    <col min="5" max="19" width="4.140625" customWidth="1"/>
    <col min="20" max="20" width="8" customWidth="1"/>
    <col min="21" max="21" width="8.7109375" customWidth="1"/>
    <col min="22" max="22" width="3.5703125" customWidth="1"/>
    <col min="23" max="23" width="8.85546875" customWidth="1"/>
    <col min="24" max="24" width="0" hidden="1" customWidth="1"/>
    <col min="25" max="16384" width="8.85546875" hidden="1"/>
  </cols>
  <sheetData>
    <row r="1" spans="1:24" ht="27.6" customHeight="1" x14ac:dyDescent="0.3">
      <c r="A1" s="136"/>
      <c r="B1" s="201" t="s">
        <v>677</v>
      </c>
      <c r="C1" s="201"/>
      <c r="D1" s="201"/>
      <c r="E1" s="201"/>
      <c r="F1" s="201"/>
      <c r="G1" s="202" t="s">
        <v>678</v>
      </c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136"/>
    </row>
    <row r="2" spans="1:24" x14ac:dyDescent="0.25">
      <c r="A2" s="136"/>
      <c r="B2" s="136"/>
      <c r="C2" s="136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6"/>
      <c r="S2" s="136"/>
      <c r="T2" s="136"/>
      <c r="U2" s="136"/>
      <c r="V2" s="136"/>
      <c r="W2" s="136"/>
    </row>
    <row r="3" spans="1:24" x14ac:dyDescent="0.25">
      <c r="A3" s="136"/>
      <c r="B3" s="203" t="s">
        <v>679</v>
      </c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136"/>
      <c r="X3" t="s">
        <v>680</v>
      </c>
    </row>
    <row r="4" spans="1:24" x14ac:dyDescent="0.25">
      <c r="A4" s="136"/>
      <c r="B4" s="139"/>
      <c r="C4" s="136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1"/>
      <c r="W4" s="136"/>
      <c r="X4" t="s">
        <v>681</v>
      </c>
    </row>
    <row r="5" spans="1:24" x14ac:dyDescent="0.25">
      <c r="A5" s="136"/>
      <c r="B5" s="142"/>
      <c r="C5" s="138" t="s">
        <v>682</v>
      </c>
      <c r="D5" s="141"/>
      <c r="E5" s="204" t="s">
        <v>683</v>
      </c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136"/>
      <c r="U5" s="136"/>
      <c r="V5" s="141"/>
      <c r="W5" s="136"/>
      <c r="X5" t="s">
        <v>683</v>
      </c>
    </row>
    <row r="6" spans="1:24" x14ac:dyDescent="0.25">
      <c r="A6" s="136"/>
      <c r="B6" s="142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41"/>
      <c r="W6" s="136"/>
      <c r="X6" t="s">
        <v>684</v>
      </c>
    </row>
    <row r="7" spans="1:24" x14ac:dyDescent="0.25">
      <c r="A7" s="136"/>
      <c r="B7" s="142"/>
      <c r="C7" s="138" t="s">
        <v>685</v>
      </c>
      <c r="D7" s="136"/>
      <c r="E7" s="136" t="s">
        <v>336</v>
      </c>
      <c r="F7" s="136"/>
      <c r="G7" s="205">
        <v>45933</v>
      </c>
      <c r="H7" s="204"/>
      <c r="I7" s="204"/>
      <c r="J7" s="204"/>
      <c r="K7" s="204"/>
      <c r="L7" s="136"/>
      <c r="M7" s="136" t="s">
        <v>337</v>
      </c>
      <c r="N7" s="136"/>
      <c r="O7" s="205">
        <v>45952</v>
      </c>
      <c r="P7" s="204"/>
      <c r="Q7" s="204"/>
      <c r="R7" s="204"/>
      <c r="S7" s="204"/>
      <c r="T7" s="136"/>
      <c r="U7" s="136"/>
      <c r="V7" s="141"/>
      <c r="W7" s="136"/>
      <c r="X7" t="s">
        <v>686</v>
      </c>
    </row>
    <row r="8" spans="1:24" x14ac:dyDescent="0.25">
      <c r="A8" s="136"/>
      <c r="B8" s="142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41"/>
      <c r="W8" s="136"/>
      <c r="X8" t="s">
        <v>687</v>
      </c>
    </row>
    <row r="9" spans="1:24" x14ac:dyDescent="0.25">
      <c r="A9" s="136"/>
      <c r="B9" s="142"/>
      <c r="C9" s="138" t="s">
        <v>688</v>
      </c>
      <c r="D9" s="136"/>
      <c r="E9" s="204"/>
      <c r="F9" s="204"/>
      <c r="G9" s="204"/>
      <c r="H9" s="204"/>
      <c r="I9" s="204"/>
      <c r="J9" s="204"/>
      <c r="K9" s="204"/>
      <c r="L9" s="204"/>
      <c r="M9" s="204"/>
      <c r="N9" s="204"/>
      <c r="O9" s="204"/>
      <c r="P9" s="204"/>
      <c r="Q9" s="204"/>
      <c r="R9" s="204"/>
      <c r="S9" s="204"/>
      <c r="T9" s="136"/>
      <c r="U9" s="136"/>
      <c r="V9" s="141"/>
      <c r="W9" s="136"/>
      <c r="X9" t="s">
        <v>689</v>
      </c>
    </row>
    <row r="10" spans="1:24" x14ac:dyDescent="0.25">
      <c r="A10" s="136"/>
      <c r="B10" s="142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41"/>
      <c r="W10" s="136"/>
      <c r="X10" t="s">
        <v>690</v>
      </c>
    </row>
    <row r="11" spans="1:24" x14ac:dyDescent="0.25">
      <c r="A11" s="136"/>
      <c r="B11" s="142"/>
      <c r="C11" s="138" t="s">
        <v>691</v>
      </c>
      <c r="D11" s="136"/>
      <c r="E11" s="147" t="s">
        <v>774</v>
      </c>
      <c r="F11" s="136" t="s">
        <v>692</v>
      </c>
      <c r="G11" s="147"/>
      <c r="H11" s="136" t="s">
        <v>693</v>
      </c>
      <c r="I11" s="147"/>
      <c r="J11" s="136" t="s">
        <v>694</v>
      </c>
      <c r="K11" s="147"/>
      <c r="L11" s="136" t="s">
        <v>695</v>
      </c>
      <c r="M11" s="147"/>
      <c r="N11" s="136" t="s">
        <v>696</v>
      </c>
      <c r="O11" s="147"/>
      <c r="P11" s="136" t="s">
        <v>697</v>
      </c>
      <c r="Q11" s="147"/>
      <c r="R11" s="136" t="s">
        <v>698</v>
      </c>
      <c r="S11" s="147"/>
      <c r="T11" s="136" t="s">
        <v>699</v>
      </c>
      <c r="U11" s="136"/>
      <c r="V11" s="141"/>
      <c r="W11" s="136"/>
      <c r="X11" t="s">
        <v>700</v>
      </c>
    </row>
    <row r="12" spans="1:24" x14ac:dyDescent="0.25">
      <c r="A12" s="136"/>
      <c r="B12" s="142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41"/>
      <c r="W12" s="136"/>
      <c r="X12" t="s">
        <v>701</v>
      </c>
    </row>
    <row r="13" spans="1:24" x14ac:dyDescent="0.25">
      <c r="A13" s="136"/>
      <c r="B13" s="142"/>
      <c r="C13" s="138" t="s">
        <v>702</v>
      </c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6"/>
      <c r="V13" s="141"/>
      <c r="W13" s="136"/>
    </row>
    <row r="14" spans="1:24" x14ac:dyDescent="0.25">
      <c r="A14" s="136"/>
      <c r="B14" s="142"/>
      <c r="C14" s="136"/>
      <c r="D14" s="136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41"/>
      <c r="W14" s="136"/>
      <c r="X14" t="s">
        <v>703</v>
      </c>
    </row>
    <row r="15" spans="1:24" x14ac:dyDescent="0.25">
      <c r="A15" s="136"/>
      <c r="B15" s="142"/>
      <c r="C15" s="136"/>
      <c r="D15" s="136" t="s">
        <v>704</v>
      </c>
      <c r="E15" s="209" t="s">
        <v>126</v>
      </c>
      <c r="F15" s="210"/>
      <c r="G15" s="210"/>
      <c r="H15" s="210"/>
      <c r="I15" s="210"/>
      <c r="J15" s="210"/>
      <c r="K15" s="210"/>
      <c r="L15" s="210"/>
      <c r="M15" s="210"/>
      <c r="N15" s="210"/>
      <c r="O15" s="210"/>
      <c r="P15" s="210"/>
      <c r="Q15" s="210"/>
      <c r="R15" s="210"/>
      <c r="S15" s="211"/>
      <c r="T15" s="136"/>
      <c r="U15" s="136"/>
      <c r="V15" s="141"/>
      <c r="W15" s="136"/>
      <c r="X15" t="s">
        <v>703</v>
      </c>
    </row>
    <row r="16" spans="1:24" x14ac:dyDescent="0.25">
      <c r="A16" s="136"/>
      <c r="B16" s="142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41"/>
      <c r="W16" s="136"/>
      <c r="X16" t="s">
        <v>703</v>
      </c>
    </row>
    <row r="17" spans="1:24" x14ac:dyDescent="0.25">
      <c r="A17" s="136"/>
      <c r="B17" s="142"/>
      <c r="C17" s="136"/>
      <c r="D17" s="136" t="s">
        <v>705</v>
      </c>
      <c r="E17" s="209" t="s">
        <v>396</v>
      </c>
      <c r="F17" s="210"/>
      <c r="G17" s="210"/>
      <c r="H17" s="210"/>
      <c r="I17" s="210"/>
      <c r="J17" s="210"/>
      <c r="K17" s="211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41"/>
      <c r="W17" s="136"/>
      <c r="X17" t="s">
        <v>703</v>
      </c>
    </row>
    <row r="18" spans="1:24" x14ac:dyDescent="0.25">
      <c r="A18" s="136"/>
      <c r="B18" s="142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41"/>
      <c r="W18" s="136"/>
      <c r="X18" t="s">
        <v>706</v>
      </c>
    </row>
    <row r="19" spans="1:24" x14ac:dyDescent="0.25">
      <c r="A19" s="136"/>
      <c r="B19" s="142"/>
      <c r="C19" s="136"/>
      <c r="D19" s="136" t="s">
        <v>707</v>
      </c>
      <c r="E19" s="209" t="s">
        <v>140</v>
      </c>
      <c r="F19" s="210"/>
      <c r="G19" s="210"/>
      <c r="H19" s="210"/>
      <c r="I19" s="210"/>
      <c r="J19" s="210"/>
      <c r="K19" s="210"/>
      <c r="L19" s="210"/>
      <c r="M19" s="210"/>
      <c r="N19" s="210"/>
      <c r="O19" s="210"/>
      <c r="P19" s="210"/>
      <c r="Q19" s="210"/>
      <c r="R19" s="210"/>
      <c r="S19" s="211"/>
      <c r="T19" s="136"/>
      <c r="U19" s="136"/>
      <c r="V19" s="141"/>
      <c r="W19" s="136"/>
      <c r="X19" t="s">
        <v>708</v>
      </c>
    </row>
    <row r="20" spans="1:24" x14ac:dyDescent="0.25">
      <c r="A20" s="136"/>
      <c r="B20" s="142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41"/>
      <c r="W20" s="136"/>
      <c r="X20" t="s">
        <v>709</v>
      </c>
    </row>
    <row r="21" spans="1:24" x14ac:dyDescent="0.25">
      <c r="A21" s="136"/>
      <c r="B21" s="142"/>
      <c r="C21" s="136"/>
      <c r="D21" s="136" t="s">
        <v>710</v>
      </c>
      <c r="E21" s="209" t="s">
        <v>117</v>
      </c>
      <c r="F21" s="210"/>
      <c r="G21" s="210"/>
      <c r="H21" s="210"/>
      <c r="I21" s="210"/>
      <c r="J21" s="210"/>
      <c r="K21" s="211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41"/>
      <c r="W21" s="136"/>
      <c r="X21" t="s">
        <v>711</v>
      </c>
    </row>
    <row r="22" spans="1:24" x14ac:dyDescent="0.25">
      <c r="A22" s="136"/>
      <c r="B22" s="142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41"/>
      <c r="W22" s="136"/>
      <c r="X22" t="s">
        <v>687</v>
      </c>
    </row>
    <row r="23" spans="1:24" x14ac:dyDescent="0.25">
      <c r="A23" s="136"/>
      <c r="B23" s="142"/>
      <c r="C23" s="138" t="s">
        <v>712</v>
      </c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41"/>
      <c r="W23" s="136"/>
      <c r="X23" t="s">
        <v>689</v>
      </c>
    </row>
    <row r="24" spans="1:24" x14ac:dyDescent="0.25">
      <c r="A24" s="136"/>
      <c r="B24" s="142"/>
      <c r="C24" s="136"/>
      <c r="D24" s="136"/>
      <c r="E24" s="136"/>
      <c r="F24" s="136"/>
      <c r="G24" s="136"/>
      <c r="H24" s="136"/>
      <c r="I24" s="136"/>
      <c r="J24" s="136"/>
      <c r="K24" s="143"/>
      <c r="L24" s="143"/>
      <c r="M24" s="143"/>
      <c r="N24" s="143"/>
      <c r="O24" s="143"/>
      <c r="P24" s="143"/>
      <c r="Q24" s="143"/>
      <c r="R24" s="143"/>
      <c r="S24" s="143"/>
      <c r="T24" s="136"/>
      <c r="U24" s="136"/>
      <c r="V24" s="141"/>
      <c r="W24" s="136"/>
      <c r="X24" t="s">
        <v>713</v>
      </c>
    </row>
    <row r="25" spans="1:24" x14ac:dyDescent="0.25">
      <c r="A25" s="136"/>
      <c r="B25" s="142"/>
      <c r="C25" s="136"/>
      <c r="D25" s="136" t="s">
        <v>714</v>
      </c>
      <c r="E25" s="136"/>
      <c r="F25" s="136"/>
      <c r="G25" s="136"/>
      <c r="H25" s="136"/>
      <c r="I25" s="136"/>
      <c r="J25" s="141"/>
      <c r="K25" s="209"/>
      <c r="L25" s="210"/>
      <c r="M25" s="210"/>
      <c r="N25" s="210"/>
      <c r="O25" s="210"/>
      <c r="P25" s="210"/>
      <c r="Q25" s="210"/>
      <c r="R25" s="210"/>
      <c r="S25" s="211"/>
      <c r="T25" s="136"/>
      <c r="U25" s="136"/>
      <c r="V25" s="141"/>
      <c r="W25" s="136"/>
      <c r="X25" t="s">
        <v>715</v>
      </c>
    </row>
    <row r="26" spans="1:24" x14ac:dyDescent="0.25">
      <c r="A26" s="136"/>
      <c r="B26" s="150"/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51"/>
      <c r="W26" s="136"/>
      <c r="X26" t="s">
        <v>716</v>
      </c>
    </row>
    <row r="27" spans="1:24" x14ac:dyDescent="0.25">
      <c r="A27" s="136"/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t="s">
        <v>717</v>
      </c>
    </row>
    <row r="28" spans="1:24" x14ac:dyDescent="0.25">
      <c r="A28" s="136"/>
      <c r="B28" s="203" t="s">
        <v>718</v>
      </c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136"/>
      <c r="X28" t="s">
        <v>719</v>
      </c>
    </row>
    <row r="29" spans="1:24" x14ac:dyDescent="0.25">
      <c r="A29" s="136"/>
      <c r="B29" s="142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48"/>
      <c r="U29" s="148"/>
      <c r="V29" s="141"/>
      <c r="W29" s="136"/>
      <c r="X29" t="s">
        <v>720</v>
      </c>
    </row>
    <row r="30" spans="1:24" ht="14.45" customHeight="1" x14ac:dyDescent="0.25">
      <c r="A30" s="136"/>
      <c r="B30" s="154"/>
      <c r="C30" s="212" t="s">
        <v>721</v>
      </c>
      <c r="D30" s="212"/>
      <c r="E30" s="212"/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212"/>
      <c r="Q30" s="213"/>
      <c r="R30" s="214">
        <f>+R100</f>
        <v>3600000</v>
      </c>
      <c r="S30" s="214"/>
      <c r="T30" s="214"/>
      <c r="U30" s="214"/>
      <c r="V30" s="157"/>
      <c r="W30" s="136"/>
      <c r="X30" t="s">
        <v>722</v>
      </c>
    </row>
    <row r="31" spans="1:24" x14ac:dyDescent="0.25">
      <c r="A31" s="136"/>
      <c r="B31" s="154"/>
      <c r="C31" s="155"/>
      <c r="D31" s="136"/>
      <c r="E31" s="136"/>
      <c r="F31" s="136"/>
      <c r="G31" s="136"/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193"/>
      <c r="S31" s="193"/>
      <c r="T31" s="193"/>
      <c r="U31" s="193"/>
      <c r="V31" s="157"/>
      <c r="W31" s="136"/>
    </row>
    <row r="32" spans="1:24" x14ac:dyDescent="0.25">
      <c r="A32" s="136"/>
      <c r="B32" s="154"/>
      <c r="C32" s="206" t="s">
        <v>723</v>
      </c>
      <c r="D32" s="206"/>
      <c r="E32" s="206"/>
      <c r="F32" s="206"/>
      <c r="G32" s="206"/>
      <c r="H32" s="206"/>
      <c r="I32" s="206"/>
      <c r="J32" s="206"/>
      <c r="K32" s="206"/>
      <c r="L32" s="206"/>
      <c r="M32" s="206"/>
      <c r="N32" s="206"/>
      <c r="O32" s="206"/>
      <c r="P32" s="206"/>
      <c r="Q32" s="207"/>
      <c r="R32" s="215"/>
      <c r="S32" s="216"/>
      <c r="T32" s="216"/>
      <c r="U32" s="217"/>
      <c r="V32" s="157"/>
      <c r="W32" s="158" t="str">
        <f>IF(ABS(T30*0.05-U30)&gt;0.5,"HIBA!","")</f>
        <v/>
      </c>
    </row>
    <row r="33" spans="1:24" x14ac:dyDescent="0.25">
      <c r="A33" s="136"/>
      <c r="B33" s="154"/>
      <c r="C33" s="155"/>
      <c r="D33" s="136"/>
      <c r="E33" s="136"/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36"/>
      <c r="Q33" s="136"/>
      <c r="R33" s="193"/>
      <c r="S33" s="193"/>
      <c r="T33" s="193"/>
      <c r="U33" s="193"/>
      <c r="V33" s="157"/>
      <c r="W33" s="158" t="str">
        <f>IF(ABS(T31*0.18-U31)&gt;0.5,"HIBA!","")</f>
        <v/>
      </c>
    </row>
    <row r="34" spans="1:24" x14ac:dyDescent="0.25">
      <c r="A34" s="136"/>
      <c r="B34" s="154"/>
      <c r="C34" s="206" t="s">
        <v>724</v>
      </c>
      <c r="D34" s="206"/>
      <c r="E34" s="206"/>
      <c r="F34" s="206"/>
      <c r="G34" s="206"/>
      <c r="H34" s="206"/>
      <c r="I34" s="206"/>
      <c r="J34" s="206"/>
      <c r="K34" s="206"/>
      <c r="L34" s="206"/>
      <c r="M34" s="206"/>
      <c r="N34" s="206"/>
      <c r="O34" s="206"/>
      <c r="P34" s="206"/>
      <c r="Q34" s="207"/>
      <c r="R34" s="208"/>
      <c r="S34" s="208"/>
      <c r="T34" s="208"/>
      <c r="U34" s="208"/>
      <c r="V34" s="157"/>
      <c r="W34" s="158" t="str">
        <f>IF(ABS(T32*0.27-U32)&gt;0.5,"HIBA!","")</f>
        <v/>
      </c>
      <c r="X34" t="s">
        <v>725</v>
      </c>
    </row>
    <row r="35" spans="1:24" x14ac:dyDescent="0.25">
      <c r="A35" s="136"/>
      <c r="B35" s="154"/>
      <c r="C35" s="155"/>
      <c r="D35" s="136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93"/>
      <c r="S35" s="193"/>
      <c r="T35" s="193"/>
      <c r="U35" s="193"/>
      <c r="V35" s="157"/>
      <c r="W35" s="158"/>
      <c r="X35" t="s">
        <v>726</v>
      </c>
    </row>
    <row r="36" spans="1:24" x14ac:dyDescent="0.25">
      <c r="A36" s="136"/>
      <c r="B36" s="154"/>
      <c r="C36" s="206" t="s">
        <v>727</v>
      </c>
      <c r="D36" s="206"/>
      <c r="E36" s="206"/>
      <c r="F36" s="206"/>
      <c r="G36" s="206"/>
      <c r="H36" s="206"/>
      <c r="I36" s="206"/>
      <c r="J36" s="206"/>
      <c r="K36" s="206"/>
      <c r="L36" s="206"/>
      <c r="M36" s="206"/>
      <c r="N36" s="206"/>
      <c r="O36" s="206"/>
      <c r="P36" s="206"/>
      <c r="Q36" s="207"/>
      <c r="R36" s="208">
        <v>5468</v>
      </c>
      <c r="S36" s="208"/>
      <c r="T36" s="208"/>
      <c r="U36" s="208"/>
      <c r="V36" s="157"/>
      <c r="W36" s="158"/>
      <c r="X36" t="s">
        <v>728</v>
      </c>
    </row>
    <row r="37" spans="1:24" x14ac:dyDescent="0.25">
      <c r="A37" s="136"/>
      <c r="B37" s="160"/>
      <c r="C37" s="161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94"/>
      <c r="S37" s="194"/>
      <c r="T37" s="194"/>
      <c r="U37" s="194"/>
      <c r="V37" s="157"/>
      <c r="W37" s="158"/>
      <c r="X37" t="s">
        <v>729</v>
      </c>
    </row>
    <row r="38" spans="1:24" x14ac:dyDescent="0.25">
      <c r="A38" s="136"/>
      <c r="B38" s="154"/>
      <c r="C38" s="206" t="s">
        <v>730</v>
      </c>
      <c r="D38" s="206"/>
      <c r="E38" s="206"/>
      <c r="F38" s="206"/>
      <c r="G38" s="206"/>
      <c r="H38" s="206"/>
      <c r="I38" s="206"/>
      <c r="J38" s="206"/>
      <c r="K38" s="206"/>
      <c r="L38" s="206"/>
      <c r="M38" s="206"/>
      <c r="N38" s="206"/>
      <c r="O38" s="206"/>
      <c r="P38" s="206"/>
      <c r="Q38" s="206"/>
      <c r="R38" s="208"/>
      <c r="S38" s="208"/>
      <c r="T38" s="208"/>
      <c r="U38" s="208"/>
      <c r="V38" s="157"/>
      <c r="W38" s="158"/>
    </row>
    <row r="39" spans="1:24" x14ac:dyDescent="0.25">
      <c r="A39" s="136"/>
      <c r="B39" s="154"/>
      <c r="C39" s="155"/>
      <c r="D39" s="163"/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94"/>
      <c r="S39" s="194"/>
      <c r="T39" s="194"/>
      <c r="U39" s="194"/>
      <c r="V39" s="157"/>
      <c r="W39" s="158"/>
    </row>
    <row r="40" spans="1:24" x14ac:dyDescent="0.25">
      <c r="A40" s="136"/>
      <c r="B40" s="154"/>
      <c r="C40" s="206" t="s">
        <v>731</v>
      </c>
      <c r="D40" s="206"/>
      <c r="E40" s="206"/>
      <c r="F40" s="206"/>
      <c r="G40" s="206"/>
      <c r="H40" s="206"/>
      <c r="I40" s="206"/>
      <c r="J40" s="206"/>
      <c r="K40" s="206"/>
      <c r="L40" s="206"/>
      <c r="M40" s="206"/>
      <c r="N40" s="206"/>
      <c r="O40" s="206"/>
      <c r="P40" s="206"/>
      <c r="Q40" s="206"/>
      <c r="R40" s="214">
        <f>+R30-(R32+R34+R36+R38)</f>
        <v>3594532</v>
      </c>
      <c r="S40" s="214"/>
      <c r="T40" s="214"/>
      <c r="U40" s="214"/>
      <c r="V40" s="157"/>
      <c r="W40" s="158"/>
    </row>
    <row r="41" spans="1:24" x14ac:dyDescent="0.25">
      <c r="A41" s="136"/>
      <c r="B41" s="154"/>
      <c r="C41" s="155"/>
      <c r="D41" s="163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94"/>
      <c r="S41" s="194"/>
      <c r="T41" s="194"/>
      <c r="U41" s="194"/>
      <c r="V41" s="157"/>
      <c r="W41" s="158"/>
    </row>
    <row r="42" spans="1:24" x14ac:dyDescent="0.25">
      <c r="A42" s="136"/>
      <c r="B42" s="154"/>
      <c r="C42" s="206" t="s">
        <v>732</v>
      </c>
      <c r="D42" s="206"/>
      <c r="E42" s="206"/>
      <c r="F42" s="206"/>
      <c r="G42" s="206"/>
      <c r="H42" s="206"/>
      <c r="I42" s="206"/>
      <c r="J42" s="206"/>
      <c r="K42" s="206"/>
      <c r="L42" s="206"/>
      <c r="M42" s="206"/>
      <c r="N42" s="206"/>
      <c r="O42" s="206"/>
      <c r="P42" s="206"/>
      <c r="Q42" s="206"/>
      <c r="R42" s="208"/>
      <c r="S42" s="208"/>
      <c r="T42" s="208"/>
      <c r="U42" s="208"/>
      <c r="V42" s="157"/>
      <c r="W42" s="158"/>
    </row>
    <row r="43" spans="1:24" x14ac:dyDescent="0.25">
      <c r="A43" s="136"/>
      <c r="B43" s="154"/>
      <c r="C43" s="155"/>
      <c r="D43" s="136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93"/>
      <c r="S43" s="193"/>
      <c r="T43" s="193"/>
      <c r="U43" s="193"/>
      <c r="V43" s="157"/>
      <c r="W43" s="158"/>
    </row>
    <row r="44" spans="1:24" x14ac:dyDescent="0.25">
      <c r="A44" s="136"/>
      <c r="B44" s="154"/>
      <c r="C44" s="206" t="s">
        <v>733</v>
      </c>
      <c r="D44" s="206"/>
      <c r="E44" s="206"/>
      <c r="F44" s="206"/>
      <c r="G44" s="206"/>
      <c r="H44" s="206"/>
      <c r="I44" s="206"/>
      <c r="J44" s="206"/>
      <c r="K44" s="206"/>
      <c r="L44" s="206"/>
      <c r="M44" s="206"/>
      <c r="N44" s="206"/>
      <c r="O44" s="206"/>
      <c r="P44" s="206"/>
      <c r="Q44" s="207"/>
      <c r="R44" s="208"/>
      <c r="S44" s="208"/>
      <c r="T44" s="208"/>
      <c r="U44" s="208"/>
      <c r="V44" s="157"/>
      <c r="W44" s="158"/>
    </row>
    <row r="45" spans="1:24" x14ac:dyDescent="0.25">
      <c r="A45" s="136"/>
      <c r="B45" s="160"/>
      <c r="C45" s="161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94"/>
      <c r="S45" s="194"/>
      <c r="T45" s="194"/>
      <c r="U45" s="194"/>
      <c r="V45" s="157"/>
      <c r="W45" s="158"/>
    </row>
    <row r="46" spans="1:24" x14ac:dyDescent="0.25">
      <c r="A46" s="136"/>
      <c r="B46" s="154"/>
      <c r="C46" s="218" t="s">
        <v>734</v>
      </c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  <c r="Q46" s="206"/>
      <c r="R46" s="214">
        <f>+R40+R42-R44</f>
        <v>3594532</v>
      </c>
      <c r="S46" s="214"/>
      <c r="T46" s="214"/>
      <c r="U46" s="214"/>
      <c r="V46" s="157"/>
      <c r="W46" s="158"/>
    </row>
    <row r="47" spans="1:24" x14ac:dyDescent="0.25">
      <c r="A47" s="136"/>
      <c r="B47" s="154"/>
      <c r="C47" s="155"/>
      <c r="D47" s="163"/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94"/>
      <c r="S47" s="194"/>
      <c r="T47" s="194"/>
      <c r="U47" s="194"/>
      <c r="V47" s="157"/>
      <c r="W47" s="158"/>
    </row>
    <row r="48" spans="1:24" x14ac:dyDescent="0.25">
      <c r="A48" s="136"/>
      <c r="B48" s="154"/>
      <c r="C48" s="218" t="s">
        <v>735</v>
      </c>
      <c r="D48" s="206"/>
      <c r="E48" s="206"/>
      <c r="F48" s="206"/>
      <c r="G48" s="206"/>
      <c r="H48" s="206"/>
      <c r="I48" s="206"/>
      <c r="J48" s="206"/>
      <c r="K48" s="206"/>
      <c r="L48" s="206"/>
      <c r="M48" s="206"/>
      <c r="N48" s="206"/>
      <c r="O48" s="206"/>
      <c r="P48" s="206"/>
      <c r="Q48" s="206"/>
      <c r="R48" s="208">
        <f>R46</f>
        <v>3594532</v>
      </c>
      <c r="S48" s="208"/>
      <c r="T48" s="208"/>
      <c r="U48" s="208"/>
      <c r="V48" s="157"/>
      <c r="W48" s="158"/>
    </row>
    <row r="49" spans="1:23" x14ac:dyDescent="0.25">
      <c r="A49" s="136"/>
      <c r="B49" s="154"/>
      <c r="C49" s="155"/>
      <c r="D49" s="163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94"/>
      <c r="S49" s="194"/>
      <c r="T49" s="194"/>
      <c r="U49" s="194"/>
      <c r="V49" s="157"/>
      <c r="W49" s="158"/>
    </row>
    <row r="50" spans="1:23" x14ac:dyDescent="0.25">
      <c r="A50" s="136"/>
      <c r="B50" s="154"/>
      <c r="C50" s="206" t="s">
        <v>736</v>
      </c>
      <c r="D50" s="206"/>
      <c r="E50" s="206"/>
      <c r="F50" s="206"/>
      <c r="G50" s="206"/>
      <c r="H50" s="206"/>
      <c r="I50" s="206"/>
      <c r="J50" s="206"/>
      <c r="K50" s="206"/>
      <c r="L50" s="206"/>
      <c r="M50" s="206"/>
      <c r="N50" s="206"/>
      <c r="O50" s="206"/>
      <c r="P50" s="206"/>
      <c r="Q50" s="206"/>
      <c r="R50" s="208"/>
      <c r="S50" s="208"/>
      <c r="T50" s="208"/>
      <c r="U50" s="208"/>
      <c r="V50" s="157"/>
      <c r="W50" s="158"/>
    </row>
    <row r="51" spans="1:23" x14ac:dyDescent="0.25">
      <c r="A51" s="136"/>
      <c r="B51" s="154"/>
      <c r="C51" s="155"/>
      <c r="D51" s="163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94"/>
      <c r="S51" s="194"/>
      <c r="T51" s="194"/>
      <c r="U51" s="194"/>
      <c r="V51" s="157"/>
      <c r="W51" s="158"/>
    </row>
    <row r="52" spans="1:23" x14ac:dyDescent="0.25">
      <c r="A52" s="136"/>
      <c r="B52" s="154"/>
      <c r="C52" s="206" t="s">
        <v>737</v>
      </c>
      <c r="D52" s="206"/>
      <c r="E52" s="206"/>
      <c r="F52" s="206"/>
      <c r="G52" s="206"/>
      <c r="H52" s="206"/>
      <c r="I52" s="206"/>
      <c r="J52" s="206"/>
      <c r="K52" s="206"/>
      <c r="L52" s="206"/>
      <c r="M52" s="206"/>
      <c r="N52" s="206"/>
      <c r="O52" s="206"/>
      <c r="P52" s="206"/>
      <c r="Q52" s="206"/>
      <c r="R52" s="214">
        <f>+R48-R50</f>
        <v>3594532</v>
      </c>
      <c r="S52" s="214"/>
      <c r="T52" s="214"/>
      <c r="U52" s="214"/>
      <c r="V52" s="157"/>
      <c r="W52" s="158"/>
    </row>
    <row r="53" spans="1:23" x14ac:dyDescent="0.25">
      <c r="A53" s="136"/>
      <c r="B53" s="154"/>
      <c r="C53" s="155"/>
      <c r="D53" s="163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94"/>
      <c r="S53" s="194"/>
      <c r="T53" s="194"/>
      <c r="U53" s="194"/>
      <c r="V53" s="157"/>
      <c r="W53" s="158"/>
    </row>
    <row r="54" spans="1:23" x14ac:dyDescent="0.25">
      <c r="A54" s="136"/>
      <c r="B54" s="154"/>
      <c r="C54" s="206" t="s">
        <v>738</v>
      </c>
      <c r="D54" s="206"/>
      <c r="E54" s="206"/>
      <c r="F54" s="206"/>
      <c r="G54" s="206"/>
      <c r="H54" s="206"/>
      <c r="I54" s="206"/>
      <c r="J54" s="206"/>
      <c r="K54" s="206"/>
      <c r="L54" s="206"/>
      <c r="M54" s="206"/>
      <c r="N54" s="206"/>
      <c r="O54" s="206"/>
      <c r="P54" s="206"/>
      <c r="Q54" s="206"/>
      <c r="R54" s="214">
        <f>+ROUND(R52*2%,0)</f>
        <v>71891</v>
      </c>
      <c r="S54" s="214"/>
      <c r="T54" s="214"/>
      <c r="U54" s="214"/>
      <c r="V54" s="157"/>
      <c r="W54" s="158"/>
    </row>
    <row r="55" spans="1:23" x14ac:dyDescent="0.25">
      <c r="A55" s="136"/>
      <c r="B55" s="154"/>
      <c r="C55" s="155"/>
      <c r="D55" s="136"/>
      <c r="E55" s="136"/>
      <c r="F55" s="136"/>
      <c r="G55" s="136"/>
      <c r="H55" s="136"/>
      <c r="I55" s="136"/>
      <c r="J55" s="136"/>
      <c r="K55" s="136"/>
      <c r="L55" s="136"/>
      <c r="M55" s="136"/>
      <c r="N55" s="136"/>
      <c r="O55" s="136"/>
      <c r="P55" s="136"/>
      <c r="Q55" s="136"/>
      <c r="R55" s="193"/>
      <c r="S55" s="193"/>
      <c r="T55" s="193"/>
      <c r="U55" s="193"/>
      <c r="V55" s="157"/>
      <c r="W55" s="158"/>
    </row>
    <row r="56" spans="1:23" x14ac:dyDescent="0.25">
      <c r="A56" s="136"/>
      <c r="B56" s="154"/>
      <c r="C56" s="206" t="s">
        <v>739</v>
      </c>
      <c r="D56" s="206"/>
      <c r="E56" s="206"/>
      <c r="F56" s="206"/>
      <c r="G56" s="206"/>
      <c r="H56" s="206"/>
      <c r="I56" s="206"/>
      <c r="J56" s="206"/>
      <c r="K56" s="206"/>
      <c r="L56" s="206"/>
      <c r="M56" s="206"/>
      <c r="N56" s="206"/>
      <c r="O56" s="206"/>
      <c r="P56" s="206"/>
      <c r="Q56" s="207"/>
      <c r="R56" s="208"/>
      <c r="S56" s="208"/>
      <c r="T56" s="208"/>
      <c r="U56" s="208"/>
      <c r="V56" s="157"/>
      <c r="W56" s="158"/>
    </row>
    <row r="57" spans="1:23" x14ac:dyDescent="0.25">
      <c r="A57" s="136"/>
      <c r="B57" s="160"/>
      <c r="C57" s="161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94"/>
      <c r="S57" s="194"/>
      <c r="T57" s="194"/>
      <c r="U57" s="194"/>
      <c r="V57" s="157"/>
      <c r="W57" s="158"/>
    </row>
    <row r="58" spans="1:23" x14ac:dyDescent="0.25">
      <c r="A58" s="136"/>
      <c r="B58" s="154"/>
      <c r="C58" s="218" t="s">
        <v>740</v>
      </c>
      <c r="D58" s="206"/>
      <c r="E58" s="206"/>
      <c r="F58" s="206"/>
      <c r="G58" s="206"/>
      <c r="H58" s="206"/>
      <c r="I58" s="206"/>
      <c r="J58" s="206"/>
      <c r="K58" s="206"/>
      <c r="L58" s="206"/>
      <c r="M58" s="206"/>
      <c r="N58" s="206"/>
      <c r="O58" s="206"/>
      <c r="P58" s="206"/>
      <c r="Q58" s="206"/>
      <c r="R58" s="208"/>
      <c r="S58" s="208"/>
      <c r="T58" s="208"/>
      <c r="U58" s="208"/>
      <c r="V58" s="157"/>
      <c r="W58" s="158"/>
    </row>
    <row r="59" spans="1:23" x14ac:dyDescent="0.25">
      <c r="A59" s="136"/>
      <c r="B59" s="154"/>
      <c r="C59" s="155"/>
      <c r="D59" s="163"/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94"/>
      <c r="S59" s="194"/>
      <c r="T59" s="194"/>
      <c r="U59" s="194"/>
      <c r="V59" s="157"/>
      <c r="W59" s="158"/>
    </row>
    <row r="60" spans="1:23" x14ac:dyDescent="0.25">
      <c r="A60" s="136"/>
      <c r="B60" s="154"/>
      <c r="C60" s="218" t="s">
        <v>741</v>
      </c>
      <c r="D60" s="206"/>
      <c r="E60" s="206"/>
      <c r="F60" s="206"/>
      <c r="G60" s="206"/>
      <c r="H60" s="206"/>
      <c r="I60" s="206"/>
      <c r="J60" s="206"/>
      <c r="K60" s="206"/>
      <c r="L60" s="206"/>
      <c r="M60" s="206"/>
      <c r="N60" s="206"/>
      <c r="O60" s="206"/>
      <c r="P60" s="206"/>
      <c r="Q60" s="206"/>
      <c r="R60" s="208"/>
      <c r="S60" s="208"/>
      <c r="T60" s="208"/>
      <c r="U60" s="208"/>
      <c r="V60" s="157"/>
      <c r="W60" s="158"/>
    </row>
    <row r="61" spans="1:23" x14ac:dyDescent="0.25">
      <c r="A61" s="136"/>
      <c r="B61" s="154"/>
      <c r="C61" s="155"/>
      <c r="D61" s="163"/>
      <c r="E61" s="136"/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/>
      <c r="R61" s="194"/>
      <c r="S61" s="194"/>
      <c r="T61" s="194"/>
      <c r="U61" s="194"/>
      <c r="V61" s="157"/>
      <c r="W61" s="158"/>
    </row>
    <row r="62" spans="1:23" x14ac:dyDescent="0.25">
      <c r="A62" s="136"/>
      <c r="B62" s="154"/>
      <c r="C62" s="206" t="s">
        <v>742</v>
      </c>
      <c r="D62" s="206"/>
      <c r="E62" s="206"/>
      <c r="F62" s="206"/>
      <c r="G62" s="206"/>
      <c r="H62" s="206"/>
      <c r="I62" s="206"/>
      <c r="J62" s="206"/>
      <c r="K62" s="206"/>
      <c r="L62" s="206"/>
      <c r="M62" s="206"/>
      <c r="N62" s="206"/>
      <c r="O62" s="206"/>
      <c r="P62" s="206"/>
      <c r="Q62" s="206"/>
      <c r="R62" s="214">
        <f>+R54-(R56+R58+R60)</f>
        <v>71891</v>
      </c>
      <c r="S62" s="214"/>
      <c r="T62" s="214"/>
      <c r="U62" s="214"/>
      <c r="V62" s="157"/>
      <c r="W62" s="158"/>
    </row>
    <row r="63" spans="1:23" x14ac:dyDescent="0.25">
      <c r="A63" s="136"/>
      <c r="B63" s="160"/>
      <c r="C63" s="161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94"/>
      <c r="S63" s="194"/>
      <c r="T63" s="194"/>
      <c r="U63" s="194"/>
      <c r="V63" s="157"/>
      <c r="W63" s="158"/>
    </row>
    <row r="64" spans="1:23" x14ac:dyDescent="0.25">
      <c r="A64" s="136"/>
      <c r="B64" s="154"/>
      <c r="C64" s="218" t="s">
        <v>743</v>
      </c>
      <c r="D64" s="206"/>
      <c r="E64" s="206"/>
      <c r="F64" s="206"/>
      <c r="G64" s="206"/>
      <c r="H64" s="206"/>
      <c r="I64" s="206"/>
      <c r="J64" s="206"/>
      <c r="K64" s="206"/>
      <c r="L64" s="206"/>
      <c r="M64" s="206"/>
      <c r="N64" s="206"/>
      <c r="O64" s="206"/>
      <c r="P64" s="206"/>
      <c r="Q64" s="206"/>
      <c r="R64" s="208"/>
      <c r="S64" s="208"/>
      <c r="T64" s="208"/>
      <c r="U64" s="208"/>
      <c r="V64" s="157"/>
      <c r="W64" s="158"/>
    </row>
    <row r="65" spans="1:23" x14ac:dyDescent="0.25">
      <c r="A65" s="136"/>
      <c r="B65" s="154"/>
      <c r="C65" s="155"/>
      <c r="D65" s="163"/>
      <c r="E65" s="136"/>
      <c r="F65" s="136"/>
      <c r="G65" s="136"/>
      <c r="H65" s="136"/>
      <c r="I65" s="136"/>
      <c r="J65" s="136"/>
      <c r="K65" s="136"/>
      <c r="L65" s="136"/>
      <c r="M65" s="136"/>
      <c r="N65" s="136"/>
      <c r="O65" s="136"/>
      <c r="P65" s="136"/>
      <c r="Q65" s="136"/>
      <c r="R65" s="194"/>
      <c r="S65" s="194"/>
      <c r="T65" s="194"/>
      <c r="U65" s="194"/>
      <c r="V65" s="157"/>
      <c r="W65" s="158"/>
    </row>
    <row r="66" spans="1:23" x14ac:dyDescent="0.25">
      <c r="A66" s="136"/>
      <c r="B66" s="154"/>
      <c r="C66" s="218" t="s">
        <v>744</v>
      </c>
      <c r="D66" s="206"/>
      <c r="E66" s="206"/>
      <c r="F66" s="206"/>
      <c r="G66" s="206"/>
      <c r="H66" s="206"/>
      <c r="I66" s="206"/>
      <c r="J66" s="206"/>
      <c r="K66" s="206"/>
      <c r="L66" s="206"/>
      <c r="M66" s="206"/>
      <c r="N66" s="206"/>
      <c r="O66" s="206"/>
      <c r="P66" s="206"/>
      <c r="Q66" s="206"/>
      <c r="R66" s="208"/>
      <c r="S66" s="208"/>
      <c r="T66" s="208"/>
      <c r="U66" s="208"/>
      <c r="V66" s="157"/>
      <c r="W66" s="158"/>
    </row>
    <row r="67" spans="1:23" x14ac:dyDescent="0.25">
      <c r="A67" s="136"/>
      <c r="B67" s="154"/>
      <c r="C67" s="155"/>
      <c r="D67" s="163"/>
      <c r="E67" s="136"/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136"/>
      <c r="Q67" s="136"/>
      <c r="R67" s="194"/>
      <c r="S67" s="194"/>
      <c r="T67" s="194"/>
      <c r="U67" s="194"/>
      <c r="V67" s="157"/>
      <c r="W67" s="158"/>
    </row>
    <row r="68" spans="1:23" x14ac:dyDescent="0.25">
      <c r="A68" s="136"/>
      <c r="B68" s="154"/>
      <c r="C68" s="206" t="s">
        <v>745</v>
      </c>
      <c r="D68" s="206"/>
      <c r="E68" s="206"/>
      <c r="F68" s="206"/>
      <c r="G68" s="206"/>
      <c r="H68" s="206"/>
      <c r="I68" s="206"/>
      <c r="J68" s="206"/>
      <c r="K68" s="206"/>
      <c r="L68" s="206"/>
      <c r="M68" s="206"/>
      <c r="N68" s="206"/>
      <c r="O68" s="206"/>
      <c r="P68" s="206"/>
      <c r="Q68" s="206"/>
      <c r="R68" s="208"/>
      <c r="S68" s="208"/>
      <c r="T68" s="208"/>
      <c r="U68" s="208"/>
      <c r="V68" s="157"/>
      <c r="W68" s="158"/>
    </row>
    <row r="69" spans="1:23" x14ac:dyDescent="0.25">
      <c r="A69" s="136"/>
      <c r="B69" s="164"/>
      <c r="C69" s="165"/>
      <c r="D69" s="143"/>
      <c r="E69" s="143"/>
      <c r="F69" s="143"/>
      <c r="G69" s="143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4"/>
      <c r="V69" s="151"/>
      <c r="W69" s="158"/>
    </row>
    <row r="70" spans="1:23" x14ac:dyDescent="0.25">
      <c r="A70" s="136"/>
      <c r="B70" s="155"/>
      <c r="C70" s="155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58"/>
    </row>
    <row r="71" spans="1:23" x14ac:dyDescent="0.25">
      <c r="A71" s="136"/>
      <c r="B71" s="203" t="s">
        <v>746</v>
      </c>
      <c r="C71" s="203"/>
      <c r="D71" s="203"/>
      <c r="E71" s="203"/>
      <c r="F71" s="203"/>
      <c r="G71" s="203"/>
      <c r="H71" s="203"/>
      <c r="I71" s="203"/>
      <c r="J71" s="203"/>
      <c r="K71" s="203"/>
      <c r="L71" s="203"/>
      <c r="M71" s="203"/>
      <c r="N71" s="203"/>
      <c r="O71" s="203"/>
      <c r="P71" s="203"/>
      <c r="Q71" s="203"/>
      <c r="R71" s="203"/>
      <c r="S71" s="203"/>
      <c r="T71" s="203"/>
      <c r="U71" s="203"/>
      <c r="V71" s="203"/>
      <c r="W71" s="136"/>
    </row>
    <row r="72" spans="1:23" x14ac:dyDescent="0.25">
      <c r="A72" s="136"/>
      <c r="B72" s="166"/>
      <c r="C72" s="155"/>
      <c r="D72" s="136"/>
      <c r="E72" s="136"/>
      <c r="F72" s="136"/>
      <c r="G72" s="136"/>
      <c r="H72" s="136"/>
      <c r="I72" s="136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41"/>
      <c r="W72" s="136"/>
    </row>
    <row r="73" spans="1:23" x14ac:dyDescent="0.25">
      <c r="A73" s="136"/>
      <c r="B73" s="142"/>
      <c r="C73" s="136" t="s">
        <v>747</v>
      </c>
      <c r="D73" s="136"/>
      <c r="E73" s="136" t="s">
        <v>336</v>
      </c>
      <c r="F73" s="136"/>
      <c r="G73" s="136"/>
      <c r="H73" s="219"/>
      <c r="I73" s="220"/>
      <c r="J73" s="220"/>
      <c r="K73" s="220"/>
      <c r="L73" s="221"/>
      <c r="M73" s="136"/>
      <c r="N73" s="136"/>
      <c r="O73" s="136" t="s">
        <v>337</v>
      </c>
      <c r="P73" s="136"/>
      <c r="Q73" s="222"/>
      <c r="R73" s="222"/>
      <c r="S73" s="222"/>
      <c r="T73" s="222"/>
      <c r="U73" s="136"/>
      <c r="V73" s="141"/>
      <c r="W73" s="136"/>
    </row>
    <row r="74" spans="1:23" x14ac:dyDescent="0.25">
      <c r="A74" s="136"/>
      <c r="B74" s="142"/>
      <c r="C74" s="136"/>
      <c r="D74" s="136"/>
      <c r="E74" s="136"/>
      <c r="F74" s="136"/>
      <c r="G74" s="136"/>
      <c r="H74" s="136"/>
      <c r="I74" s="136"/>
      <c r="J74" s="136"/>
      <c r="K74" s="136"/>
      <c r="L74" s="136"/>
      <c r="M74" s="136"/>
      <c r="N74" s="136"/>
      <c r="O74" s="136"/>
      <c r="P74" s="136"/>
      <c r="Q74" s="136"/>
      <c r="R74" s="136"/>
      <c r="S74" s="136"/>
      <c r="T74" s="136"/>
      <c r="U74" s="136"/>
      <c r="V74" s="141"/>
      <c r="W74" s="136"/>
    </row>
    <row r="75" spans="1:23" x14ac:dyDescent="0.25">
      <c r="A75" s="136"/>
      <c r="B75" s="154"/>
      <c r="C75" s="155" t="s">
        <v>748</v>
      </c>
      <c r="D75" s="138"/>
      <c r="E75" s="136" t="s">
        <v>749</v>
      </c>
      <c r="F75" s="136"/>
      <c r="G75" s="136"/>
      <c r="H75" s="219"/>
      <c r="I75" s="220"/>
      <c r="J75" s="220"/>
      <c r="K75" s="220"/>
      <c r="L75" s="221"/>
      <c r="M75" s="136"/>
      <c r="N75" s="136"/>
      <c r="O75" s="136" t="s">
        <v>750</v>
      </c>
      <c r="P75" s="136"/>
      <c r="Q75" s="222"/>
      <c r="R75" s="222"/>
      <c r="S75" s="222"/>
      <c r="T75" s="222"/>
      <c r="U75" s="152"/>
      <c r="V75" s="141"/>
      <c r="W75" s="136"/>
    </row>
    <row r="76" spans="1:23" x14ac:dyDescent="0.25">
      <c r="A76" s="136"/>
      <c r="B76" s="154"/>
      <c r="C76" s="155"/>
      <c r="D76" s="136"/>
      <c r="E76" s="136"/>
      <c r="F76" s="136"/>
      <c r="G76" s="136"/>
      <c r="H76" s="136"/>
      <c r="I76" s="136"/>
      <c r="J76" s="136"/>
      <c r="K76" s="136"/>
      <c r="L76" s="136"/>
      <c r="M76" s="136"/>
      <c r="N76" s="136"/>
      <c r="O76" s="136"/>
      <c r="P76" s="136"/>
      <c r="Q76" s="136"/>
      <c r="R76" s="136"/>
      <c r="S76" s="136"/>
      <c r="T76" s="148"/>
      <c r="U76" s="148"/>
      <c r="V76" s="141"/>
      <c r="W76" s="136"/>
    </row>
    <row r="77" spans="1:23" x14ac:dyDescent="0.25">
      <c r="A77" s="136"/>
      <c r="B77" s="154"/>
      <c r="C77" s="155" t="s">
        <v>751</v>
      </c>
      <c r="D77" s="138"/>
      <c r="E77" s="136" t="s">
        <v>749</v>
      </c>
      <c r="F77" s="136"/>
      <c r="G77" s="136"/>
      <c r="H77" s="219"/>
      <c r="I77" s="220"/>
      <c r="J77" s="220"/>
      <c r="K77" s="220"/>
      <c r="L77" s="221"/>
      <c r="M77" s="136"/>
      <c r="N77" s="136"/>
      <c r="O77" s="136" t="s">
        <v>750</v>
      </c>
      <c r="P77" s="136"/>
      <c r="Q77" s="222"/>
      <c r="R77" s="222"/>
      <c r="S77" s="222"/>
      <c r="T77" s="222"/>
      <c r="U77" s="152"/>
      <c r="V77" s="141"/>
      <c r="W77" s="136"/>
    </row>
    <row r="78" spans="1:23" x14ac:dyDescent="0.25">
      <c r="A78" s="136"/>
      <c r="B78" s="164"/>
      <c r="C78" s="165"/>
      <c r="D78" s="168"/>
      <c r="E78" s="143"/>
      <c r="F78" s="143"/>
      <c r="G78" s="143"/>
      <c r="H78" s="143"/>
      <c r="I78" s="143"/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90"/>
      <c r="U78" s="190"/>
      <c r="V78" s="151"/>
      <c r="W78" s="136"/>
    </row>
    <row r="79" spans="1:23" x14ac:dyDescent="0.25">
      <c r="A79" s="136"/>
      <c r="B79" s="155"/>
      <c r="C79" s="155"/>
      <c r="D79" s="136"/>
      <c r="E79" s="136"/>
      <c r="F79" s="136"/>
      <c r="G79" s="136"/>
      <c r="H79" s="136"/>
      <c r="I79" s="136"/>
      <c r="J79" s="136"/>
      <c r="K79" s="136"/>
      <c r="L79" s="136"/>
      <c r="M79" s="136"/>
      <c r="N79" s="136"/>
      <c r="O79" s="136"/>
      <c r="P79" s="136"/>
      <c r="Q79" s="136"/>
      <c r="R79" s="136"/>
      <c r="S79" s="136"/>
      <c r="T79" s="136"/>
      <c r="U79" s="136"/>
      <c r="V79" s="136"/>
      <c r="W79" s="136"/>
    </row>
    <row r="80" spans="1:23" x14ac:dyDescent="0.25">
      <c r="A80" s="136"/>
      <c r="B80" s="203" t="s">
        <v>752</v>
      </c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136"/>
    </row>
    <row r="81" spans="1:23" x14ac:dyDescent="0.25">
      <c r="A81" s="136"/>
      <c r="B81" s="166"/>
      <c r="C81" s="155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41"/>
      <c r="W81" s="136"/>
    </row>
    <row r="82" spans="1:23" x14ac:dyDescent="0.25">
      <c r="A82" s="136"/>
      <c r="B82" s="154"/>
      <c r="C82" s="223" t="s">
        <v>398</v>
      </c>
      <c r="D82" s="224"/>
      <c r="E82" s="136"/>
      <c r="F82" s="156">
        <v>2</v>
      </c>
      <c r="G82" s="156">
        <v>0</v>
      </c>
      <c r="H82" s="156">
        <v>2</v>
      </c>
      <c r="I82" s="156">
        <v>5</v>
      </c>
      <c r="J82" s="136"/>
      <c r="K82" s="156">
        <v>1</v>
      </c>
      <c r="L82" s="156">
        <v>2</v>
      </c>
      <c r="M82" s="136"/>
      <c r="N82" s="156">
        <v>1</v>
      </c>
      <c r="O82" s="156">
        <v>8</v>
      </c>
      <c r="P82" s="136"/>
      <c r="Q82" s="225" t="s">
        <v>158</v>
      </c>
      <c r="R82" s="225"/>
      <c r="S82" s="225"/>
      <c r="T82" s="225"/>
      <c r="U82" s="225"/>
      <c r="V82" s="141"/>
      <c r="W82" s="136"/>
    </row>
    <row r="83" spans="1:23" x14ac:dyDescent="0.25">
      <c r="A83" s="136"/>
      <c r="B83" s="154"/>
      <c r="C83" s="226" t="s">
        <v>340</v>
      </c>
      <c r="D83" s="226"/>
      <c r="E83" s="192"/>
      <c r="F83" s="227" t="s">
        <v>753</v>
      </c>
      <c r="G83" s="227"/>
      <c r="H83" s="227"/>
      <c r="I83" s="227"/>
      <c r="J83" s="192"/>
      <c r="K83" s="227" t="s">
        <v>754</v>
      </c>
      <c r="L83" s="227"/>
      <c r="M83" s="192"/>
      <c r="N83" s="227" t="s">
        <v>755</v>
      </c>
      <c r="O83" s="227"/>
      <c r="P83" s="192"/>
      <c r="Q83" s="227" t="s">
        <v>342</v>
      </c>
      <c r="R83" s="227"/>
      <c r="S83" s="227"/>
      <c r="T83" s="227"/>
      <c r="U83" s="227"/>
      <c r="V83" s="141"/>
      <c r="W83" s="136"/>
    </row>
    <row r="84" spans="1:23" x14ac:dyDescent="0.25">
      <c r="A84" s="136"/>
      <c r="B84" s="164"/>
      <c r="C84" s="165"/>
      <c r="D84" s="143"/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51"/>
      <c r="W84" s="136"/>
    </row>
    <row r="85" spans="1:23" x14ac:dyDescent="0.25">
      <c r="A85" s="136"/>
      <c r="B85" s="155"/>
      <c r="C85" s="155"/>
      <c r="D85" s="136"/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6"/>
      <c r="S85" s="136"/>
      <c r="T85" s="136"/>
      <c r="U85" s="136"/>
      <c r="V85" s="136"/>
      <c r="W85" s="136"/>
    </row>
    <row r="86" spans="1:23" x14ac:dyDescent="0.25">
      <c r="A86" s="136"/>
      <c r="B86" s="203" t="s">
        <v>756</v>
      </c>
      <c r="C86" s="203"/>
      <c r="D86" s="203"/>
      <c r="E86" s="203"/>
      <c r="F86" s="203"/>
      <c r="G86" s="203"/>
      <c r="H86" s="203"/>
      <c r="I86" s="203"/>
      <c r="J86" s="203"/>
      <c r="K86" s="203"/>
      <c r="L86" s="203"/>
      <c r="M86" s="203"/>
      <c r="N86" s="203"/>
      <c r="O86" s="203"/>
      <c r="P86" s="203"/>
      <c r="Q86" s="203"/>
      <c r="R86" s="203"/>
      <c r="S86" s="203"/>
      <c r="T86" s="203"/>
      <c r="U86" s="203"/>
      <c r="V86" s="203"/>
      <c r="W86" s="136"/>
    </row>
    <row r="87" spans="1:23" x14ac:dyDescent="0.25">
      <c r="A87" s="136"/>
      <c r="B87" s="166"/>
      <c r="C87" s="19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96"/>
      <c r="W87" s="136"/>
    </row>
    <row r="90" spans="1:23" x14ac:dyDescent="0.25">
      <c r="A90" s="136"/>
      <c r="B90" s="142"/>
      <c r="C90" s="138" t="s">
        <v>757</v>
      </c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6"/>
      <c r="V90" s="141"/>
      <c r="W90" s="136"/>
    </row>
    <row r="91" spans="1:23" x14ac:dyDescent="0.25">
      <c r="A91" s="136"/>
      <c r="B91" s="142"/>
      <c r="C91" s="136"/>
      <c r="D91" s="136"/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136"/>
      <c r="S91" s="136"/>
      <c r="T91" s="136"/>
      <c r="U91" s="136"/>
      <c r="V91" s="141"/>
      <c r="W91" s="136"/>
    </row>
    <row r="92" spans="1:23" x14ac:dyDescent="0.25">
      <c r="A92" s="136"/>
      <c r="B92" s="142"/>
      <c r="C92" s="136"/>
      <c r="D92" s="136" t="s">
        <v>704</v>
      </c>
      <c r="E92" s="228" t="str">
        <f>+IF(E15&lt;&gt;"",E15,"")</f>
        <v>Prompt Integra Kft.</v>
      </c>
      <c r="F92" s="229"/>
      <c r="G92" s="229"/>
      <c r="H92" s="229"/>
      <c r="I92" s="229"/>
      <c r="J92" s="229"/>
      <c r="K92" s="229"/>
      <c r="L92" s="229"/>
      <c r="M92" s="229"/>
      <c r="N92" s="229"/>
      <c r="O92" s="229"/>
      <c r="P92" s="229"/>
      <c r="Q92" s="229"/>
      <c r="R92" s="229"/>
      <c r="S92" s="230"/>
      <c r="T92" s="136"/>
      <c r="U92" s="136"/>
      <c r="V92" s="141"/>
      <c r="W92" s="136"/>
    </row>
    <row r="93" spans="1:23" x14ac:dyDescent="0.25">
      <c r="A93" s="136"/>
      <c r="B93" s="142"/>
      <c r="C93" s="136"/>
      <c r="D93" s="136"/>
      <c r="E93" s="136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/>
      <c r="R93" s="136"/>
      <c r="S93" s="136"/>
      <c r="T93" s="136"/>
      <c r="U93" s="136"/>
      <c r="V93" s="141"/>
      <c r="W93" s="136"/>
    </row>
    <row r="94" spans="1:23" x14ac:dyDescent="0.25">
      <c r="A94" s="136"/>
      <c r="B94" s="142"/>
      <c r="C94" s="136"/>
      <c r="D94" s="136" t="s">
        <v>705</v>
      </c>
      <c r="E94" s="228" t="str">
        <f>+IF(E17&lt;&gt;"",E17,"")</f>
        <v>12457899-2-42</v>
      </c>
      <c r="F94" s="229"/>
      <c r="G94" s="229"/>
      <c r="H94" s="229"/>
      <c r="I94" s="229"/>
      <c r="J94" s="229"/>
      <c r="K94" s="230"/>
      <c r="L94" s="136"/>
      <c r="M94" s="136"/>
      <c r="N94" s="136"/>
      <c r="O94" s="136"/>
      <c r="P94" s="136"/>
      <c r="Q94" s="136"/>
      <c r="R94" s="136"/>
      <c r="S94" s="136"/>
      <c r="T94" s="136"/>
      <c r="U94" s="136"/>
      <c r="V94" s="141"/>
      <c r="W94" s="136"/>
    </row>
    <row r="95" spans="1:23" x14ac:dyDescent="0.25">
      <c r="A95" s="136"/>
      <c r="B95" s="150"/>
      <c r="C95" s="143"/>
      <c r="D95" s="143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51"/>
      <c r="W95" s="136"/>
    </row>
    <row r="96" spans="1:23" x14ac:dyDescent="0.25">
      <c r="A96" s="136"/>
      <c r="B96" s="136"/>
      <c r="C96" s="136"/>
      <c r="D96" s="136"/>
      <c r="E96" s="136"/>
      <c r="F96" s="136"/>
      <c r="G96" s="136"/>
      <c r="H96" s="136"/>
      <c r="I96" s="136"/>
      <c r="J96" s="136"/>
      <c r="K96" s="136"/>
      <c r="L96" s="136"/>
      <c r="M96" s="136"/>
      <c r="N96" s="136"/>
      <c r="O96" s="136"/>
      <c r="P96" s="136"/>
      <c r="Q96" s="136"/>
      <c r="R96" s="136"/>
      <c r="S96" s="136"/>
      <c r="T96" s="136"/>
      <c r="U96" s="136"/>
      <c r="V96" s="136"/>
      <c r="W96" s="136"/>
    </row>
    <row r="97" spans="1:23" x14ac:dyDescent="0.25">
      <c r="A97" s="136"/>
      <c r="B97" s="139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9"/>
      <c r="U97" s="149"/>
      <c r="V97" s="196"/>
      <c r="W97" s="136"/>
    </row>
    <row r="98" spans="1:23" x14ac:dyDescent="0.25">
      <c r="A98" s="136"/>
      <c r="B98" s="142"/>
      <c r="C98" s="138" t="s">
        <v>758</v>
      </c>
      <c r="D98" s="136"/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6"/>
      <c r="T98" s="148"/>
      <c r="U98" s="152" t="s">
        <v>33</v>
      </c>
      <c r="V98" s="141"/>
      <c r="W98" s="136"/>
    </row>
    <row r="99" spans="1:23" x14ac:dyDescent="0.25">
      <c r="A99" s="136" t="s">
        <v>759</v>
      </c>
      <c r="B99" s="142"/>
      <c r="C99" s="136"/>
      <c r="D99" s="136"/>
      <c r="E99" s="136"/>
      <c r="F99" s="136"/>
      <c r="G99" s="136"/>
      <c r="H99" s="136"/>
      <c r="I99" s="136"/>
      <c r="J99" s="136"/>
      <c r="K99" s="136"/>
      <c r="L99" s="136"/>
      <c r="M99" s="136"/>
      <c r="N99" s="136"/>
      <c r="O99" s="136"/>
      <c r="P99" s="136"/>
      <c r="Q99" s="136"/>
      <c r="R99" s="136"/>
      <c r="S99" s="136"/>
      <c r="T99" s="148"/>
      <c r="U99" s="148"/>
      <c r="V99" s="141"/>
      <c r="W99" s="136"/>
    </row>
    <row r="100" spans="1:23" x14ac:dyDescent="0.25">
      <c r="A100" s="136"/>
      <c r="B100" s="154"/>
      <c r="C100" s="212" t="s">
        <v>760</v>
      </c>
      <c r="D100" s="212"/>
      <c r="E100" s="212"/>
      <c r="F100" s="212"/>
      <c r="G100" s="212"/>
      <c r="H100" s="212"/>
      <c r="I100" s="212"/>
      <c r="J100" s="212"/>
      <c r="K100" s="212"/>
      <c r="L100" s="212"/>
      <c r="M100" s="212"/>
      <c r="N100" s="212"/>
      <c r="O100" s="212"/>
      <c r="P100" s="212"/>
      <c r="Q100" s="213"/>
      <c r="R100" s="231">
        <f>+R102-R104-R106-R108-R110</f>
        <v>3600000</v>
      </c>
      <c r="S100" s="232"/>
      <c r="T100" s="232"/>
      <c r="U100" s="233"/>
      <c r="V100" s="157"/>
      <c r="W100" s="136"/>
    </row>
    <row r="101" spans="1:23" x14ac:dyDescent="0.25">
      <c r="A101" s="136"/>
      <c r="B101" s="154"/>
      <c r="C101" s="155"/>
      <c r="D101" s="136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93"/>
      <c r="S101" s="193"/>
      <c r="T101" s="193"/>
      <c r="U101" s="193"/>
      <c r="V101" s="157"/>
      <c r="W101" s="136"/>
    </row>
    <row r="102" spans="1:23" x14ac:dyDescent="0.25">
      <c r="A102" s="136"/>
      <c r="B102" s="154"/>
      <c r="C102" s="206" t="s">
        <v>761</v>
      </c>
      <c r="D102" s="206"/>
      <c r="E102" s="206"/>
      <c r="F102" s="206"/>
      <c r="G102" s="206"/>
      <c r="H102" s="206"/>
      <c r="I102" s="206"/>
      <c r="J102" s="206"/>
      <c r="K102" s="206"/>
      <c r="L102" s="206"/>
      <c r="M102" s="206"/>
      <c r="N102" s="206"/>
      <c r="O102" s="206"/>
      <c r="P102" s="206"/>
      <c r="Q102" s="207"/>
      <c r="R102" s="215">
        <v>3600000</v>
      </c>
      <c r="S102" s="216"/>
      <c r="T102" s="216"/>
      <c r="U102" s="217"/>
      <c r="V102" s="157"/>
      <c r="W102" s="136"/>
    </row>
    <row r="103" spans="1:23" x14ac:dyDescent="0.25">
      <c r="A103" s="136"/>
      <c r="B103" s="154"/>
      <c r="C103" s="155"/>
      <c r="D103" s="136"/>
      <c r="E103" s="136"/>
      <c r="F103" s="136"/>
      <c r="G103" s="136"/>
      <c r="H103" s="136"/>
      <c r="I103" s="136"/>
      <c r="J103" s="136"/>
      <c r="K103" s="136"/>
      <c r="L103" s="136"/>
      <c r="M103" s="136"/>
      <c r="N103" s="136"/>
      <c r="O103" s="136"/>
      <c r="P103" s="136"/>
      <c r="Q103" s="136"/>
      <c r="R103" s="193"/>
      <c r="S103" s="193"/>
      <c r="T103" s="193"/>
      <c r="U103" s="193"/>
      <c r="V103" s="157"/>
      <c r="W103" s="136"/>
    </row>
    <row r="104" spans="1:23" x14ac:dyDescent="0.25">
      <c r="A104" s="136"/>
      <c r="B104" s="154"/>
      <c r="C104" s="206" t="s">
        <v>762</v>
      </c>
      <c r="D104" s="206"/>
      <c r="E104" s="206"/>
      <c r="F104" s="206"/>
      <c r="G104" s="206"/>
      <c r="H104" s="206"/>
      <c r="I104" s="206"/>
      <c r="J104" s="206"/>
      <c r="K104" s="206"/>
      <c r="L104" s="206"/>
      <c r="M104" s="206"/>
      <c r="N104" s="206"/>
      <c r="O104" s="206"/>
      <c r="P104" s="206"/>
      <c r="Q104" s="207"/>
      <c r="R104" s="208"/>
      <c r="S104" s="208"/>
      <c r="T104" s="208"/>
      <c r="U104" s="208"/>
      <c r="V104" s="157"/>
      <c r="W104" s="136"/>
    </row>
    <row r="105" spans="1:23" x14ac:dyDescent="0.25">
      <c r="A105" s="136"/>
      <c r="B105" s="154"/>
      <c r="C105" s="155"/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93"/>
      <c r="S105" s="193"/>
      <c r="T105" s="193"/>
      <c r="U105" s="193"/>
      <c r="V105" s="157"/>
      <c r="W105" s="136"/>
    </row>
    <row r="106" spans="1:23" x14ac:dyDescent="0.25">
      <c r="A106" s="136"/>
      <c r="B106" s="154"/>
      <c r="C106" s="206" t="s">
        <v>763</v>
      </c>
      <c r="D106" s="206"/>
      <c r="E106" s="206"/>
      <c r="F106" s="206"/>
      <c r="G106" s="206"/>
      <c r="H106" s="206"/>
      <c r="I106" s="206"/>
      <c r="J106" s="206"/>
      <c r="K106" s="206"/>
      <c r="L106" s="206"/>
      <c r="M106" s="206"/>
      <c r="N106" s="206"/>
      <c r="O106" s="206"/>
      <c r="P106" s="206"/>
      <c r="Q106" s="207"/>
      <c r="R106" s="208"/>
      <c r="S106" s="208"/>
      <c r="T106" s="208"/>
      <c r="U106" s="208"/>
      <c r="V106" s="157"/>
      <c r="W106" s="136"/>
    </row>
    <row r="107" spans="1:23" x14ac:dyDescent="0.25">
      <c r="A107" s="136"/>
      <c r="B107" s="160"/>
      <c r="C107" s="161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94"/>
      <c r="S107" s="194"/>
      <c r="T107" s="194"/>
      <c r="U107" s="194"/>
      <c r="V107" s="157"/>
      <c r="W107" s="136"/>
    </row>
    <row r="108" spans="1:23" x14ac:dyDescent="0.25">
      <c r="A108" s="136"/>
      <c r="B108" s="154"/>
      <c r="C108" s="206" t="s">
        <v>764</v>
      </c>
      <c r="D108" s="206"/>
      <c r="E108" s="206"/>
      <c r="F108" s="206"/>
      <c r="G108" s="206"/>
      <c r="H108" s="206"/>
      <c r="I108" s="206"/>
      <c r="J108" s="206"/>
      <c r="K108" s="206"/>
      <c r="L108" s="206"/>
      <c r="M108" s="206"/>
      <c r="N108" s="206"/>
      <c r="O108" s="206"/>
      <c r="P108" s="206"/>
      <c r="Q108" s="206"/>
      <c r="R108" s="208"/>
      <c r="S108" s="208"/>
      <c r="T108" s="208"/>
      <c r="U108" s="208"/>
      <c r="V108" s="157"/>
      <c r="W108" s="136"/>
    </row>
    <row r="109" spans="1:23" x14ac:dyDescent="0.25">
      <c r="A109" s="136"/>
      <c r="B109" s="154"/>
      <c r="C109" s="155"/>
      <c r="D109" s="163"/>
      <c r="E109" s="136"/>
      <c r="F109" s="136"/>
      <c r="G109" s="136"/>
      <c r="H109" s="136"/>
      <c r="I109" s="136"/>
      <c r="J109" s="136"/>
      <c r="K109" s="136"/>
      <c r="L109" s="136"/>
      <c r="M109" s="136"/>
      <c r="N109" s="136"/>
      <c r="O109" s="136"/>
      <c r="P109" s="136"/>
      <c r="Q109" s="136"/>
      <c r="R109" s="194"/>
      <c r="S109" s="194"/>
      <c r="T109" s="194"/>
      <c r="U109" s="194"/>
      <c r="V109" s="157"/>
      <c r="W109" s="136"/>
    </row>
    <row r="110" spans="1:23" x14ac:dyDescent="0.25">
      <c r="A110" s="136"/>
      <c r="B110" s="154"/>
      <c r="C110" s="206" t="s">
        <v>765</v>
      </c>
      <c r="D110" s="206"/>
      <c r="E110" s="206"/>
      <c r="F110" s="206"/>
      <c r="G110" s="206"/>
      <c r="H110" s="206"/>
      <c r="I110" s="206"/>
      <c r="J110" s="206"/>
      <c r="K110" s="206"/>
      <c r="L110" s="206"/>
      <c r="M110" s="206"/>
      <c r="N110" s="206"/>
      <c r="O110" s="206"/>
      <c r="P110" s="206"/>
      <c r="Q110" s="206"/>
      <c r="R110" s="215"/>
      <c r="S110" s="216"/>
      <c r="T110" s="216"/>
      <c r="U110" s="217"/>
      <c r="V110" s="157"/>
      <c r="W110" s="136"/>
    </row>
    <row r="111" spans="1:23" x14ac:dyDescent="0.25">
      <c r="A111" s="136"/>
      <c r="B111" s="164"/>
      <c r="C111" s="165"/>
      <c r="D111" s="168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97"/>
      <c r="S111" s="197"/>
      <c r="T111" s="197"/>
      <c r="U111" s="197"/>
      <c r="V111" s="198"/>
      <c r="W111" s="136"/>
    </row>
    <row r="112" spans="1:23" x14ac:dyDescent="0.25">
      <c r="A112" s="136"/>
      <c r="B112" s="136"/>
      <c r="C112" s="136"/>
      <c r="D112" s="136"/>
      <c r="E112" s="136"/>
      <c r="F112" s="136"/>
      <c r="G112" s="136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6"/>
      <c r="T112" s="136"/>
      <c r="U112" s="136"/>
      <c r="V112" s="136"/>
      <c r="W112" s="136"/>
    </row>
    <row r="113" spans="1:23" x14ac:dyDescent="0.25">
      <c r="A113" s="136"/>
      <c r="B113" s="166"/>
      <c r="C113" s="195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96"/>
      <c r="W113" s="136"/>
    </row>
    <row r="114" spans="1:23" x14ac:dyDescent="0.25">
      <c r="A114" s="136"/>
      <c r="B114" s="154"/>
      <c r="C114" s="228" t="str">
        <f>+IF(C82&lt;&gt;"",C82,"")</f>
        <v>Budapest</v>
      </c>
      <c r="D114" s="230"/>
      <c r="E114" s="136"/>
      <c r="F114" s="199">
        <f>+IF(F82&lt;&gt;"",F82,"")</f>
        <v>2</v>
      </c>
      <c r="G114" s="199">
        <f>+IF(G82&lt;&gt;"",G82,"")</f>
        <v>0</v>
      </c>
      <c r="H114" s="199">
        <f>+IF(H82&lt;&gt;"",H82,"")</f>
        <v>2</v>
      </c>
      <c r="I114" s="199">
        <f>+IF(I82&lt;&gt;"",I82,"")</f>
        <v>5</v>
      </c>
      <c r="J114" s="136"/>
      <c r="K114" s="199">
        <f>+IF(K82&lt;&gt;"",K82,"")</f>
        <v>1</v>
      </c>
      <c r="L114" s="199">
        <f>+IF(L82&lt;&gt;"",L82,"")</f>
        <v>2</v>
      </c>
      <c r="M114" s="136"/>
      <c r="N114" s="199">
        <f>+IF(N82&lt;&gt;"",N82,"")</f>
        <v>1</v>
      </c>
      <c r="O114" s="199">
        <f>+IF(O82&lt;&gt;"",O82,"")</f>
        <v>8</v>
      </c>
      <c r="P114" s="136"/>
      <c r="Q114" s="234" t="str">
        <f>+IF(Q82&lt;&gt;"",Q82,"")</f>
        <v>Alfonz Aladár</v>
      </c>
      <c r="R114" s="234"/>
      <c r="S114" s="234"/>
      <c r="T114" s="234"/>
      <c r="U114" s="234"/>
      <c r="V114" s="141"/>
      <c r="W114" s="136"/>
    </row>
    <row r="115" spans="1:23" x14ac:dyDescent="0.25">
      <c r="A115" s="136"/>
      <c r="B115" s="154"/>
      <c r="C115" s="226" t="s">
        <v>340</v>
      </c>
      <c r="D115" s="226"/>
      <c r="E115" s="192"/>
      <c r="F115" s="227" t="s">
        <v>753</v>
      </c>
      <c r="G115" s="227"/>
      <c r="H115" s="227"/>
      <c r="I115" s="227"/>
      <c r="J115" s="192"/>
      <c r="K115" s="227" t="s">
        <v>754</v>
      </c>
      <c r="L115" s="227"/>
      <c r="M115" s="192"/>
      <c r="N115" s="227" t="s">
        <v>755</v>
      </c>
      <c r="O115" s="227"/>
      <c r="P115" s="192"/>
      <c r="Q115" s="227" t="s">
        <v>342</v>
      </c>
      <c r="R115" s="227"/>
      <c r="S115" s="227"/>
      <c r="T115" s="227"/>
      <c r="U115" s="227"/>
      <c r="V115" s="141"/>
      <c r="W115" s="136"/>
    </row>
    <row r="116" spans="1:23" x14ac:dyDescent="0.25">
      <c r="A116" s="136"/>
      <c r="B116" s="164"/>
      <c r="C116" s="165"/>
      <c r="D116" s="143"/>
      <c r="E116" s="143"/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51"/>
      <c r="W116" s="136"/>
    </row>
    <row r="117" spans="1:23" x14ac:dyDescent="0.25">
      <c r="A117" s="136"/>
      <c r="B117" s="136"/>
      <c r="C117" s="136"/>
      <c r="D117" s="136"/>
      <c r="E117" s="136"/>
      <c r="F117" s="136"/>
      <c r="G117" s="136"/>
      <c r="H117" s="136"/>
      <c r="I117" s="136"/>
      <c r="J117" s="136"/>
      <c r="K117" s="136"/>
      <c r="L117" s="136"/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36"/>
    </row>
    <row r="118" spans="1:23" x14ac:dyDescent="0.25">
      <c r="A118" s="136"/>
      <c r="B118" s="203" t="s">
        <v>766</v>
      </c>
      <c r="C118" s="203"/>
      <c r="D118" s="203"/>
      <c r="E118" s="203"/>
      <c r="F118" s="203"/>
      <c r="G118" s="203"/>
      <c r="H118" s="203"/>
      <c r="I118" s="203"/>
      <c r="J118" s="203"/>
      <c r="K118" s="203"/>
      <c r="L118" s="203"/>
      <c r="M118" s="203"/>
      <c r="N118" s="203"/>
      <c r="O118" s="203"/>
      <c r="P118" s="203"/>
      <c r="Q118" s="203"/>
      <c r="R118" s="203"/>
      <c r="S118" s="203"/>
      <c r="T118" s="203"/>
      <c r="U118" s="203"/>
      <c r="V118" s="203"/>
      <c r="W118" s="136"/>
    </row>
    <row r="119" spans="1:23" x14ac:dyDescent="0.25">
      <c r="A119" s="136"/>
      <c r="B119" s="136"/>
      <c r="C119" s="136"/>
      <c r="D119" s="136"/>
      <c r="E119" s="136"/>
      <c r="F119" s="136"/>
      <c r="G119" s="136"/>
      <c r="H119" s="136"/>
      <c r="I119" s="136"/>
      <c r="J119" s="136"/>
      <c r="K119" s="136"/>
      <c r="L119" s="136"/>
      <c r="M119" s="136"/>
      <c r="N119" s="136"/>
      <c r="O119" s="136"/>
      <c r="P119" s="136"/>
      <c r="Q119" s="136"/>
      <c r="R119" s="136"/>
      <c r="S119" s="136"/>
      <c r="T119" s="136"/>
      <c r="U119" s="136"/>
      <c r="V119" s="136"/>
      <c r="W119" s="136"/>
    </row>
    <row r="120" spans="1:23" x14ac:dyDescent="0.25">
      <c r="A120" s="136"/>
      <c r="B120" s="203" t="s">
        <v>767</v>
      </c>
      <c r="C120" s="203"/>
      <c r="D120" s="203"/>
      <c r="E120" s="203"/>
      <c r="F120" s="203"/>
      <c r="G120" s="203"/>
      <c r="H120" s="203"/>
      <c r="I120" s="203"/>
      <c r="J120" s="203"/>
      <c r="K120" s="203"/>
      <c r="L120" s="203"/>
      <c r="M120" s="203"/>
      <c r="N120" s="203"/>
      <c r="O120" s="203"/>
      <c r="P120" s="203"/>
      <c r="Q120" s="203"/>
      <c r="R120" s="203"/>
      <c r="S120" s="203"/>
      <c r="T120" s="203"/>
      <c r="U120" s="203"/>
      <c r="V120" s="203"/>
      <c r="W120" s="136"/>
    </row>
    <row r="121" spans="1:23" x14ac:dyDescent="0.25">
      <c r="A121" s="136"/>
      <c r="B121" s="136"/>
      <c r="C121" s="136"/>
      <c r="D121" s="136"/>
      <c r="E121" s="136"/>
      <c r="F121" s="136"/>
      <c r="G121" s="136"/>
      <c r="H121" s="136"/>
      <c r="I121" s="136"/>
      <c r="J121" s="136"/>
      <c r="K121" s="136"/>
      <c r="L121" s="136"/>
      <c r="M121" s="136"/>
      <c r="N121" s="136"/>
      <c r="O121" s="136"/>
      <c r="P121" s="136"/>
      <c r="Q121" s="136"/>
      <c r="R121" s="136"/>
      <c r="S121" s="136"/>
      <c r="T121" s="136"/>
      <c r="U121" s="136"/>
      <c r="V121" s="136"/>
      <c r="W121" s="136"/>
    </row>
    <row r="122" spans="1:23" x14ac:dyDescent="0.25">
      <c r="A122" s="136"/>
      <c r="B122" s="203" t="s">
        <v>768</v>
      </c>
      <c r="C122" s="203"/>
      <c r="D122" s="203"/>
      <c r="E122" s="203"/>
      <c r="F122" s="203"/>
      <c r="G122" s="203"/>
      <c r="H122" s="203"/>
      <c r="I122" s="203"/>
      <c r="J122" s="203"/>
      <c r="K122" s="203"/>
      <c r="L122" s="203"/>
      <c r="M122" s="203"/>
      <c r="N122" s="203"/>
      <c r="O122" s="203"/>
      <c r="P122" s="203"/>
      <c r="Q122" s="203"/>
      <c r="R122" s="203"/>
      <c r="S122" s="203"/>
      <c r="T122" s="203"/>
      <c r="U122" s="203"/>
      <c r="V122" s="203"/>
      <c r="W122" s="136"/>
    </row>
    <row r="123" spans="1:23" x14ac:dyDescent="0.25">
      <c r="A123" s="136"/>
      <c r="B123" s="136"/>
      <c r="C123" s="136"/>
      <c r="D123" s="136"/>
      <c r="E123" s="136"/>
      <c r="F123" s="136"/>
      <c r="G123" s="136"/>
      <c r="H123" s="136"/>
      <c r="I123" s="136"/>
      <c r="J123" s="136"/>
      <c r="K123" s="136"/>
      <c r="L123" s="136"/>
      <c r="M123" s="136"/>
      <c r="N123" s="136"/>
      <c r="O123" s="136"/>
      <c r="P123" s="136"/>
      <c r="Q123" s="136"/>
      <c r="R123" s="136"/>
      <c r="S123" s="136"/>
      <c r="T123" s="136"/>
      <c r="U123" s="136"/>
      <c r="V123" s="136"/>
      <c r="W123" s="136"/>
    </row>
    <row r="124" spans="1:23" ht="28.9" customHeight="1" x14ac:dyDescent="0.25">
      <c r="A124" s="136"/>
      <c r="B124" s="235" t="s">
        <v>769</v>
      </c>
      <c r="C124" s="203"/>
      <c r="D124" s="203"/>
      <c r="E124" s="203"/>
      <c r="F124" s="203"/>
      <c r="G124" s="203"/>
      <c r="H124" s="203"/>
      <c r="I124" s="203"/>
      <c r="J124" s="203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136"/>
    </row>
    <row r="125" spans="1:23" x14ac:dyDescent="0.25">
      <c r="A125" s="136"/>
      <c r="B125" s="136"/>
      <c r="C125" s="136"/>
      <c r="D125" s="136"/>
      <c r="E125" s="136"/>
      <c r="F125" s="136"/>
      <c r="G125" s="136"/>
      <c r="H125" s="136"/>
      <c r="I125" s="136"/>
      <c r="J125" s="136"/>
      <c r="K125" s="136"/>
      <c r="L125" s="136"/>
      <c r="M125" s="136"/>
      <c r="N125" s="136"/>
      <c r="O125" s="136"/>
      <c r="P125" s="136"/>
      <c r="Q125" s="136"/>
      <c r="R125" s="136"/>
      <c r="S125" s="136"/>
      <c r="T125" s="136"/>
      <c r="U125" s="136"/>
      <c r="V125" s="136"/>
      <c r="W125" s="136"/>
    </row>
    <row r="126" spans="1:23" x14ac:dyDescent="0.25">
      <c r="A126" s="136"/>
      <c r="B126" s="203" t="s">
        <v>770</v>
      </c>
      <c r="C126" s="203"/>
      <c r="D126" s="203"/>
      <c r="E126" s="203"/>
      <c r="F126" s="203"/>
      <c r="G126" s="203"/>
      <c r="H126" s="203"/>
      <c r="I126" s="203"/>
      <c r="J126" s="203"/>
      <c r="K126" s="203"/>
      <c r="L126" s="203"/>
      <c r="M126" s="203"/>
      <c r="N126" s="203"/>
      <c r="O126" s="203"/>
      <c r="P126" s="203"/>
      <c r="Q126" s="203"/>
      <c r="R126" s="203"/>
      <c r="S126" s="203"/>
      <c r="T126" s="203"/>
      <c r="U126" s="203"/>
      <c r="V126" s="203"/>
      <c r="W126" s="136"/>
    </row>
    <row r="127" spans="1:23" x14ac:dyDescent="0.25">
      <c r="A127" s="136"/>
      <c r="B127" s="136"/>
      <c r="C127" s="136"/>
      <c r="D127" s="136"/>
      <c r="E127" s="136"/>
      <c r="F127" s="136"/>
      <c r="G127" s="136"/>
      <c r="H127" s="136"/>
      <c r="I127" s="136"/>
      <c r="J127" s="136"/>
      <c r="K127" s="136"/>
      <c r="L127" s="136"/>
      <c r="M127" s="136"/>
      <c r="N127" s="136"/>
      <c r="O127" s="136"/>
      <c r="P127" s="136"/>
      <c r="Q127" s="136"/>
      <c r="R127" s="136"/>
      <c r="S127" s="136"/>
      <c r="T127" s="136"/>
      <c r="U127" s="136"/>
      <c r="V127" s="136"/>
      <c r="W127" s="136"/>
    </row>
    <row r="128" spans="1:23" x14ac:dyDescent="0.25">
      <c r="A128" s="136"/>
      <c r="B128" s="203" t="s">
        <v>771</v>
      </c>
      <c r="C128" s="203"/>
      <c r="D128" s="203"/>
      <c r="E128" s="203"/>
      <c r="F128" s="203"/>
      <c r="G128" s="203"/>
      <c r="H128" s="203"/>
      <c r="I128" s="203"/>
      <c r="J128" s="203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/>
      <c r="W128" s="136"/>
    </row>
    <row r="129" spans="1:23" x14ac:dyDescent="0.25">
      <c r="A129" s="136"/>
      <c r="B129" s="136"/>
      <c r="C129" s="136"/>
      <c r="D129" s="136"/>
      <c r="E129" s="136"/>
      <c r="F129" s="136"/>
      <c r="G129" s="136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</row>
    <row r="130" spans="1:23" x14ac:dyDescent="0.25">
      <c r="A130" s="136"/>
      <c r="B130" s="203" t="s">
        <v>772</v>
      </c>
      <c r="C130" s="203"/>
      <c r="D130" s="203"/>
      <c r="E130" s="203"/>
      <c r="F130" s="203"/>
      <c r="G130" s="203"/>
      <c r="H130" s="203"/>
      <c r="I130" s="203"/>
      <c r="J130" s="203"/>
      <c r="K130" s="203"/>
      <c r="L130" s="203"/>
      <c r="M130" s="203"/>
      <c r="N130" s="203"/>
      <c r="O130" s="203"/>
      <c r="P130" s="203"/>
      <c r="Q130" s="203"/>
      <c r="R130" s="203"/>
      <c r="S130" s="203"/>
      <c r="T130" s="203"/>
      <c r="U130" s="203"/>
      <c r="V130" s="203"/>
      <c r="W130" s="136"/>
    </row>
    <row r="131" spans="1:23" x14ac:dyDescent="0.25">
      <c r="A131" s="136"/>
      <c r="B131" s="136"/>
      <c r="C131" s="136"/>
      <c r="D131" s="136"/>
      <c r="E131" s="136"/>
      <c r="F131" s="136"/>
      <c r="G131" s="136"/>
      <c r="H131" s="136"/>
      <c r="I131" s="136"/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136"/>
      <c r="V131" s="136"/>
      <c r="W131" s="136"/>
    </row>
    <row r="132" spans="1:23" x14ac:dyDescent="0.25">
      <c r="A132" s="136"/>
      <c r="B132" s="203" t="s">
        <v>773</v>
      </c>
      <c r="C132" s="203"/>
      <c r="D132" s="203"/>
      <c r="E132" s="203"/>
      <c r="F132" s="203"/>
      <c r="G132" s="203"/>
      <c r="H132" s="203"/>
      <c r="I132" s="203"/>
      <c r="J132" s="203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136"/>
    </row>
    <row r="133" spans="1:23" x14ac:dyDescent="0.25">
      <c r="A133" s="136"/>
      <c r="B133" s="136"/>
      <c r="C133" s="136"/>
      <c r="D133" s="136"/>
      <c r="E133" s="136"/>
      <c r="F133" s="136"/>
      <c r="G133" s="136"/>
      <c r="H133" s="136"/>
      <c r="I133" s="136"/>
      <c r="J133" s="136"/>
      <c r="K133" s="136"/>
      <c r="L133" s="136"/>
      <c r="M133" s="136"/>
      <c r="N133" s="136"/>
      <c r="O133" s="136"/>
      <c r="P133" s="136"/>
      <c r="Q133" s="136"/>
      <c r="R133" s="136"/>
      <c r="S133" s="136"/>
      <c r="T133" s="136"/>
      <c r="U133" s="136"/>
      <c r="V133" s="136"/>
      <c r="W133" s="136"/>
    </row>
  </sheetData>
  <sheetProtection algorithmName="SHA-512" hashValue="FnUsIar9umVvvZVCehTE+QDeMB1opZiCzdOwttzOB4SF7tFBXo8koCxS/uKpwbfIlgXCbqLqfgMhmUcLCL/LZA==" saltValue="n/WdIn0iiFjs7aGmXAYxNg==" spinCount="100000" sheet="1" objects="1" scenarios="1"/>
  <mergeCells count="98">
    <mergeCell ref="B130:V130"/>
    <mergeCell ref="B132:V132"/>
    <mergeCell ref="B118:V118"/>
    <mergeCell ref="B120:V120"/>
    <mergeCell ref="B122:V122"/>
    <mergeCell ref="B124:V124"/>
    <mergeCell ref="B126:V126"/>
    <mergeCell ref="B128:V128"/>
    <mergeCell ref="C110:Q110"/>
    <mergeCell ref="R110:U110"/>
    <mergeCell ref="C114:D114"/>
    <mergeCell ref="Q114:U114"/>
    <mergeCell ref="C115:D115"/>
    <mergeCell ref="F115:I115"/>
    <mergeCell ref="K115:L115"/>
    <mergeCell ref="N115:O115"/>
    <mergeCell ref="Q115:U115"/>
    <mergeCell ref="C104:Q104"/>
    <mergeCell ref="R104:U104"/>
    <mergeCell ref="C106:Q106"/>
    <mergeCell ref="R106:U106"/>
    <mergeCell ref="C108:Q108"/>
    <mergeCell ref="R108:U108"/>
    <mergeCell ref="E92:S92"/>
    <mergeCell ref="E94:K94"/>
    <mergeCell ref="C100:Q100"/>
    <mergeCell ref="R100:U100"/>
    <mergeCell ref="C102:Q102"/>
    <mergeCell ref="R102:U102"/>
    <mergeCell ref="B86:V86"/>
    <mergeCell ref="H75:L75"/>
    <mergeCell ref="Q75:T75"/>
    <mergeCell ref="H77:L77"/>
    <mergeCell ref="Q77:T77"/>
    <mergeCell ref="B80:V80"/>
    <mergeCell ref="C82:D82"/>
    <mergeCell ref="Q82:U82"/>
    <mergeCell ref="C83:D83"/>
    <mergeCell ref="F83:I83"/>
    <mergeCell ref="K83:L83"/>
    <mergeCell ref="N83:O83"/>
    <mergeCell ref="Q83:U83"/>
    <mergeCell ref="H73:L73"/>
    <mergeCell ref="Q73:T73"/>
    <mergeCell ref="C60:Q60"/>
    <mergeCell ref="R60:U60"/>
    <mergeCell ref="C62:Q62"/>
    <mergeCell ref="R62:U62"/>
    <mergeCell ref="C64:Q64"/>
    <mergeCell ref="R64:U64"/>
    <mergeCell ref="C66:Q66"/>
    <mergeCell ref="R66:U66"/>
    <mergeCell ref="C68:Q68"/>
    <mergeCell ref="R68:U68"/>
    <mergeCell ref="B71:V71"/>
    <mergeCell ref="C54:Q54"/>
    <mergeCell ref="R54:U54"/>
    <mergeCell ref="C56:Q56"/>
    <mergeCell ref="R56:U56"/>
    <mergeCell ref="C58:Q58"/>
    <mergeCell ref="R58:U58"/>
    <mergeCell ref="C48:Q48"/>
    <mergeCell ref="R48:U48"/>
    <mergeCell ref="C50:Q50"/>
    <mergeCell ref="R50:U50"/>
    <mergeCell ref="C52:Q52"/>
    <mergeCell ref="R52:U52"/>
    <mergeCell ref="C42:Q42"/>
    <mergeCell ref="R42:U42"/>
    <mergeCell ref="C44:Q44"/>
    <mergeCell ref="R44:U44"/>
    <mergeCell ref="C46:Q46"/>
    <mergeCell ref="R46:U46"/>
    <mergeCell ref="C36:Q36"/>
    <mergeCell ref="R36:U36"/>
    <mergeCell ref="C38:Q38"/>
    <mergeCell ref="R38:U38"/>
    <mergeCell ref="C40:Q40"/>
    <mergeCell ref="R40:U40"/>
    <mergeCell ref="C34:Q34"/>
    <mergeCell ref="R34:U34"/>
    <mergeCell ref="E9:S9"/>
    <mergeCell ref="E15:S15"/>
    <mergeCell ref="E17:K17"/>
    <mergeCell ref="E19:S19"/>
    <mergeCell ref="E21:K21"/>
    <mergeCell ref="K25:S25"/>
    <mergeCell ref="B28:V28"/>
    <mergeCell ref="C30:Q30"/>
    <mergeCell ref="R30:U30"/>
    <mergeCell ref="C32:Q32"/>
    <mergeCell ref="R32:U32"/>
    <mergeCell ref="B1:F1"/>
    <mergeCell ref="G1:V1"/>
    <mergeCell ref="B3:V3"/>
    <mergeCell ref="E5:S5"/>
    <mergeCell ref="G7:K7"/>
    <mergeCell ref="O7:S7"/>
  </mergeCells>
  <dataValidations count="3">
    <dataValidation type="list" allowBlank="1" showInputMessage="1" showErrorMessage="1" sqref="E5" xr:uid="{870B2893-312F-4EF1-8F81-C04ABC6F9425}">
      <formula1>$X$3:$X$12</formula1>
    </dataValidation>
    <dataValidation type="list" allowBlank="1" showInputMessage="1" showErrorMessage="1" sqref="K25:S25" xr:uid="{E276E4C7-AA6E-4348-ABDC-1EE283D46747}">
      <formula1>$X$34:$X$37</formula1>
    </dataValidation>
    <dataValidation type="list" allowBlank="1" showInputMessage="1" showErrorMessage="1" sqref="E9" xr:uid="{8BC1F3F6-C054-41C6-8348-7B0122C94E78}">
      <formula1>$X$17:$X$30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6867F-59A3-4D58-A534-F3EDC8B4E7FA}">
  <dimension ref="A1:F40"/>
  <sheetViews>
    <sheetView workbookViewId="0">
      <selection activeCell="B36" sqref="B36"/>
    </sheetView>
  </sheetViews>
  <sheetFormatPr defaultColWidth="9.140625" defaultRowHeight="15" x14ac:dyDescent="0.25"/>
  <cols>
    <col min="1" max="1" width="15" style="186" customWidth="1"/>
    <col min="2" max="2" width="35" style="186" customWidth="1"/>
    <col min="3" max="6" width="15" style="188" customWidth="1"/>
    <col min="7" max="16384" width="9.140625" style="186"/>
  </cols>
  <sheetData>
    <row r="1" spans="1:6" x14ac:dyDescent="0.25">
      <c r="A1" s="327" t="s">
        <v>560</v>
      </c>
      <c r="B1" s="327"/>
      <c r="C1" s="327"/>
      <c r="D1" s="327"/>
      <c r="E1" s="327"/>
      <c r="F1" s="327"/>
    </row>
    <row r="2" spans="1:6" x14ac:dyDescent="0.25">
      <c r="A2" s="327" t="s">
        <v>126</v>
      </c>
      <c r="B2" s="327"/>
      <c r="C2" s="327"/>
      <c r="D2" s="327"/>
      <c r="E2" s="327"/>
      <c r="F2" s="327"/>
    </row>
    <row r="3" spans="1:6" x14ac:dyDescent="0.25">
      <c r="A3" s="327" t="s">
        <v>561</v>
      </c>
      <c r="B3" s="327"/>
      <c r="C3" s="327"/>
      <c r="D3" s="327"/>
      <c r="E3" s="327"/>
      <c r="F3" s="327"/>
    </row>
    <row r="5" spans="1:6" x14ac:dyDescent="0.25">
      <c r="A5" s="187"/>
      <c r="B5" s="187"/>
      <c r="C5" s="327" t="s">
        <v>562</v>
      </c>
      <c r="D5" s="327"/>
      <c r="E5" s="327" t="s">
        <v>563</v>
      </c>
      <c r="F5" s="327"/>
    </row>
    <row r="6" spans="1:6" x14ac:dyDescent="0.25">
      <c r="A6" s="187" t="s">
        <v>564</v>
      </c>
      <c r="B6" s="187" t="s">
        <v>282</v>
      </c>
      <c r="C6" s="185" t="s">
        <v>565</v>
      </c>
      <c r="D6" s="185" t="s">
        <v>566</v>
      </c>
      <c r="E6" s="185" t="s">
        <v>565</v>
      </c>
      <c r="F6" s="185" t="s">
        <v>566</v>
      </c>
    </row>
    <row r="7" spans="1:6" x14ac:dyDescent="0.25">
      <c r="A7" s="186" t="s">
        <v>567</v>
      </c>
      <c r="B7" s="186" t="s">
        <v>568</v>
      </c>
      <c r="C7" s="188">
        <v>82760</v>
      </c>
      <c r="D7" s="188">
        <v>0</v>
      </c>
      <c r="E7" s="188">
        <v>82760</v>
      </c>
      <c r="F7" s="188">
        <v>0</v>
      </c>
    </row>
    <row r="8" spans="1:6" x14ac:dyDescent="0.25">
      <c r="A8" s="186" t="s">
        <v>569</v>
      </c>
      <c r="B8" s="186" t="s">
        <v>570</v>
      </c>
      <c r="C8" s="188">
        <v>0</v>
      </c>
      <c r="D8" s="188">
        <v>82760</v>
      </c>
      <c r="E8" s="188">
        <v>0</v>
      </c>
      <c r="F8" s="188">
        <v>82760</v>
      </c>
    </row>
    <row r="9" spans="1:6" x14ac:dyDescent="0.25">
      <c r="A9" s="186" t="s">
        <v>571</v>
      </c>
      <c r="B9" s="186" t="s">
        <v>572</v>
      </c>
      <c r="C9" s="188">
        <v>82760</v>
      </c>
      <c r="D9" s="188">
        <v>82760</v>
      </c>
      <c r="E9" s="188">
        <v>0</v>
      </c>
      <c r="F9" s="188">
        <v>0</v>
      </c>
    </row>
    <row r="10" spans="1:6" x14ac:dyDescent="0.25">
      <c r="A10" s="187" t="s">
        <v>573</v>
      </c>
      <c r="B10" s="187" t="s">
        <v>574</v>
      </c>
      <c r="C10" s="189">
        <v>165520</v>
      </c>
      <c r="D10" s="189">
        <v>165520</v>
      </c>
      <c r="E10" s="189">
        <v>82760</v>
      </c>
      <c r="F10" s="189">
        <v>82760</v>
      </c>
    </row>
    <row r="11" spans="1:6" x14ac:dyDescent="0.25">
      <c r="A11" s="186" t="s">
        <v>575</v>
      </c>
      <c r="B11" s="186" t="s">
        <v>576</v>
      </c>
      <c r="C11" s="188">
        <v>4572000</v>
      </c>
      <c r="D11" s="188">
        <v>0</v>
      </c>
      <c r="E11" s="188">
        <v>4572000</v>
      </c>
      <c r="F11" s="188">
        <v>0</v>
      </c>
    </row>
    <row r="12" spans="1:6" x14ac:dyDescent="0.25">
      <c r="A12" s="186" t="s">
        <v>577</v>
      </c>
      <c r="B12" s="186" t="s">
        <v>578</v>
      </c>
      <c r="C12" s="188">
        <v>1841782</v>
      </c>
      <c r="D12" s="188">
        <v>1796887</v>
      </c>
      <c r="E12" s="188">
        <v>44895</v>
      </c>
      <c r="F12" s="188">
        <v>0</v>
      </c>
    </row>
    <row r="13" spans="1:6" x14ac:dyDescent="0.25">
      <c r="A13" s="186" t="s">
        <v>579</v>
      </c>
      <c r="B13" s="186" t="s">
        <v>580</v>
      </c>
      <c r="C13" s="188">
        <v>1900000</v>
      </c>
      <c r="D13" s="188">
        <v>1807200</v>
      </c>
      <c r="E13" s="188">
        <v>92800</v>
      </c>
      <c r="F13" s="188">
        <v>0</v>
      </c>
    </row>
    <row r="14" spans="1:6" x14ac:dyDescent="0.25">
      <c r="A14" s="186" t="s">
        <v>581</v>
      </c>
      <c r="B14" s="186" t="s">
        <v>582</v>
      </c>
      <c r="C14" s="188">
        <v>1750000</v>
      </c>
      <c r="D14" s="188">
        <v>1750000</v>
      </c>
      <c r="E14" s="188">
        <v>0</v>
      </c>
      <c r="F14" s="188">
        <v>0</v>
      </c>
    </row>
    <row r="15" spans="1:6" x14ac:dyDescent="0.25">
      <c r="A15" s="186" t="s">
        <v>583</v>
      </c>
      <c r="B15" s="186" t="s">
        <v>584</v>
      </c>
      <c r="C15" s="188">
        <v>1200000</v>
      </c>
      <c r="D15" s="188">
        <v>0</v>
      </c>
      <c r="E15" s="188">
        <v>1200000</v>
      </c>
      <c r="F15" s="188">
        <v>0</v>
      </c>
    </row>
    <row r="16" spans="1:6" x14ac:dyDescent="0.25">
      <c r="A16" s="186" t="s">
        <v>585</v>
      </c>
      <c r="B16" s="186" t="s">
        <v>586</v>
      </c>
      <c r="C16" s="188">
        <v>4931</v>
      </c>
      <c r="D16" s="188">
        <v>0</v>
      </c>
      <c r="E16" s="188">
        <v>4931</v>
      </c>
      <c r="F16" s="188">
        <v>0</v>
      </c>
    </row>
    <row r="17" spans="1:6" x14ac:dyDescent="0.25">
      <c r="A17" s="186" t="s">
        <v>587</v>
      </c>
      <c r="B17" s="186" t="s">
        <v>588</v>
      </c>
      <c r="C17" s="188">
        <v>244712</v>
      </c>
      <c r="D17" s="188">
        <v>0</v>
      </c>
      <c r="E17" s="188">
        <v>244712</v>
      </c>
      <c r="F17" s="188">
        <v>0</v>
      </c>
    </row>
    <row r="18" spans="1:6" x14ac:dyDescent="0.25">
      <c r="A18" s="187" t="s">
        <v>589</v>
      </c>
      <c r="B18" s="187" t="s">
        <v>590</v>
      </c>
      <c r="C18" s="189">
        <v>11513425</v>
      </c>
      <c r="D18" s="189">
        <v>5354087</v>
      </c>
      <c r="E18" s="189">
        <v>6159338</v>
      </c>
      <c r="F18" s="189">
        <v>0</v>
      </c>
    </row>
    <row r="19" spans="1:6" x14ac:dyDescent="0.25">
      <c r="A19" s="186" t="s">
        <v>591</v>
      </c>
      <c r="B19" s="186" t="s">
        <v>592</v>
      </c>
      <c r="C19" s="188">
        <v>0</v>
      </c>
      <c r="D19" s="188">
        <v>3200000</v>
      </c>
      <c r="E19" s="188">
        <v>0</v>
      </c>
      <c r="F19" s="188">
        <v>3200000</v>
      </c>
    </row>
    <row r="20" spans="1:6" x14ac:dyDescent="0.25">
      <c r="A20" s="186" t="s">
        <v>593</v>
      </c>
      <c r="B20" s="186" t="s">
        <v>594</v>
      </c>
      <c r="C20" s="188">
        <v>3200000</v>
      </c>
      <c r="D20" s="188">
        <v>1600000</v>
      </c>
      <c r="E20" s="188">
        <v>1600000</v>
      </c>
      <c r="F20" s="188">
        <v>0</v>
      </c>
    </row>
    <row r="21" spans="1:6" x14ac:dyDescent="0.25">
      <c r="A21" s="186" t="s">
        <v>595</v>
      </c>
      <c r="B21" s="186" t="s">
        <v>596</v>
      </c>
      <c r="C21" s="188">
        <v>457200</v>
      </c>
      <c r="D21" s="188">
        <v>643540</v>
      </c>
      <c r="E21" s="188">
        <v>0</v>
      </c>
      <c r="F21" s="188">
        <v>186340</v>
      </c>
    </row>
    <row r="22" spans="1:6" x14ac:dyDescent="0.25">
      <c r="A22" s="186" t="s">
        <v>597</v>
      </c>
      <c r="B22" s="186" t="s">
        <v>598</v>
      </c>
      <c r="C22" s="188">
        <v>0</v>
      </c>
      <c r="D22" s="188">
        <v>391777</v>
      </c>
      <c r="E22" s="188">
        <v>0</v>
      </c>
      <c r="F22" s="188">
        <v>391777</v>
      </c>
    </row>
    <row r="23" spans="1:6" x14ac:dyDescent="0.25">
      <c r="A23" s="186" t="s">
        <v>599</v>
      </c>
      <c r="B23" s="186" t="s">
        <v>600</v>
      </c>
      <c r="C23" s="188">
        <v>177397</v>
      </c>
      <c r="D23" s="188">
        <v>177397</v>
      </c>
      <c r="E23" s="188">
        <v>0</v>
      </c>
      <c r="F23" s="188">
        <v>0</v>
      </c>
    </row>
    <row r="24" spans="1:6" x14ac:dyDescent="0.25">
      <c r="A24" s="186" t="s">
        <v>601</v>
      </c>
      <c r="B24" s="186" t="s">
        <v>602</v>
      </c>
      <c r="C24" s="188">
        <v>972000</v>
      </c>
      <c r="D24" s="188">
        <v>972000</v>
      </c>
      <c r="E24" s="188">
        <v>0</v>
      </c>
      <c r="F24" s="188">
        <v>0</v>
      </c>
    </row>
    <row r="25" spans="1:6" x14ac:dyDescent="0.25">
      <c r="A25" s="186" t="s">
        <v>603</v>
      </c>
      <c r="B25" s="186" t="s">
        <v>604</v>
      </c>
      <c r="C25" s="188">
        <v>177397</v>
      </c>
      <c r="D25" s="188">
        <v>972397</v>
      </c>
      <c r="E25" s="188">
        <v>0</v>
      </c>
      <c r="F25" s="188">
        <v>795000</v>
      </c>
    </row>
    <row r="26" spans="1:6" x14ac:dyDescent="0.25">
      <c r="A26" s="186" t="s">
        <v>605</v>
      </c>
      <c r="B26" s="186" t="s">
        <v>606</v>
      </c>
      <c r="C26" s="188">
        <v>0</v>
      </c>
      <c r="D26" s="188">
        <v>6699</v>
      </c>
      <c r="E26" s="188">
        <v>0</v>
      </c>
      <c r="F26" s="188">
        <v>6699</v>
      </c>
    </row>
    <row r="27" spans="1:6" x14ac:dyDescent="0.25">
      <c r="A27" s="187" t="s">
        <v>607</v>
      </c>
      <c r="B27" s="187" t="s">
        <v>608</v>
      </c>
      <c r="C27" s="189">
        <v>4983994</v>
      </c>
      <c r="D27" s="189">
        <v>7963810</v>
      </c>
      <c r="E27" s="189">
        <v>1600000</v>
      </c>
      <c r="F27" s="189">
        <v>4579816</v>
      </c>
    </row>
    <row r="28" spans="1:6" x14ac:dyDescent="0.25">
      <c r="A28" s="186" t="s">
        <v>609</v>
      </c>
      <c r="B28" s="186" t="s">
        <v>610</v>
      </c>
      <c r="C28" s="188">
        <v>5468</v>
      </c>
      <c r="D28" s="188">
        <v>0</v>
      </c>
      <c r="E28" s="188">
        <v>5468</v>
      </c>
      <c r="F28" s="188">
        <v>0</v>
      </c>
    </row>
    <row r="29" spans="1:6" x14ac:dyDescent="0.25">
      <c r="A29" s="186" t="s">
        <v>611</v>
      </c>
      <c r="B29" s="186" t="s">
        <v>612</v>
      </c>
      <c r="C29" s="188">
        <v>574800</v>
      </c>
      <c r="D29" s="188">
        <v>244712</v>
      </c>
      <c r="E29" s="188">
        <v>330088</v>
      </c>
      <c r="F29" s="188">
        <v>0</v>
      </c>
    </row>
    <row r="30" spans="1:6" x14ac:dyDescent="0.25">
      <c r="A30" s="186" t="s">
        <v>613</v>
      </c>
      <c r="B30" s="186" t="s">
        <v>614</v>
      </c>
      <c r="C30" s="188">
        <v>5855</v>
      </c>
      <c r="D30" s="188">
        <v>0</v>
      </c>
      <c r="E30" s="188">
        <v>5855</v>
      </c>
      <c r="F30" s="188">
        <v>0</v>
      </c>
    </row>
    <row r="31" spans="1:6" x14ac:dyDescent="0.25">
      <c r="A31" s="186" t="s">
        <v>615</v>
      </c>
      <c r="B31" s="186" t="s">
        <v>616</v>
      </c>
      <c r="C31" s="188">
        <v>82760</v>
      </c>
      <c r="D31" s="188">
        <v>0</v>
      </c>
      <c r="E31" s="188">
        <v>82760</v>
      </c>
      <c r="F31" s="188">
        <v>0</v>
      </c>
    </row>
    <row r="32" spans="1:6" x14ac:dyDescent="0.25">
      <c r="A32" s="187" t="s">
        <v>617</v>
      </c>
      <c r="B32" s="187" t="s">
        <v>618</v>
      </c>
      <c r="C32" s="189">
        <v>668883</v>
      </c>
      <c r="D32" s="189">
        <v>244712</v>
      </c>
      <c r="E32" s="189">
        <v>424171</v>
      </c>
      <c r="F32" s="189">
        <v>0</v>
      </c>
    </row>
    <row r="33" spans="1:6" x14ac:dyDescent="0.25">
      <c r="A33" s="186" t="s">
        <v>619</v>
      </c>
      <c r="B33" s="186" t="s">
        <v>620</v>
      </c>
      <c r="C33" s="188">
        <v>399</v>
      </c>
      <c r="D33" s="188">
        <v>0</v>
      </c>
      <c r="E33" s="188">
        <v>399</v>
      </c>
      <c r="F33" s="188">
        <v>0</v>
      </c>
    </row>
    <row r="34" spans="1:6" x14ac:dyDescent="0.25">
      <c r="A34" s="186" t="s">
        <v>621</v>
      </c>
      <c r="B34" s="186" t="s">
        <v>622</v>
      </c>
      <c r="C34" s="188">
        <v>844</v>
      </c>
      <c r="D34" s="188">
        <v>0</v>
      </c>
      <c r="E34" s="188">
        <v>844</v>
      </c>
      <c r="F34" s="188">
        <v>0</v>
      </c>
    </row>
    <row r="35" spans="1:6" x14ac:dyDescent="0.25">
      <c r="A35" s="187" t="s">
        <v>623</v>
      </c>
      <c r="B35" s="187" t="s">
        <v>624</v>
      </c>
      <c r="C35" s="189">
        <v>1243</v>
      </c>
      <c r="D35" s="189">
        <v>0</v>
      </c>
      <c r="E35" s="189">
        <v>1243</v>
      </c>
      <c r="F35" s="189">
        <v>0</v>
      </c>
    </row>
    <row r="36" spans="1:6" x14ac:dyDescent="0.25">
      <c r="A36" s="186" t="s">
        <v>625</v>
      </c>
      <c r="B36" s="186" t="s">
        <v>626</v>
      </c>
      <c r="C36" s="188">
        <v>0</v>
      </c>
      <c r="D36" s="188">
        <v>3600000</v>
      </c>
      <c r="E36" s="188">
        <v>0</v>
      </c>
      <c r="F36" s="188">
        <v>3600000</v>
      </c>
    </row>
    <row r="37" spans="1:6" x14ac:dyDescent="0.25">
      <c r="A37" s="186" t="s">
        <v>627</v>
      </c>
      <c r="B37" s="186" t="s">
        <v>628</v>
      </c>
      <c r="C37" s="188">
        <v>0</v>
      </c>
      <c r="D37" s="188">
        <v>5</v>
      </c>
      <c r="E37" s="188">
        <v>0</v>
      </c>
      <c r="F37" s="188">
        <v>5</v>
      </c>
    </row>
    <row r="38" spans="1:6" x14ac:dyDescent="0.25">
      <c r="A38" s="186" t="s">
        <v>629</v>
      </c>
      <c r="B38" s="186" t="s">
        <v>630</v>
      </c>
      <c r="C38" s="188">
        <v>0</v>
      </c>
      <c r="D38" s="188">
        <v>4931</v>
      </c>
      <c r="E38" s="188">
        <v>0</v>
      </c>
      <c r="F38" s="188">
        <v>4931</v>
      </c>
    </row>
    <row r="39" spans="1:6" x14ac:dyDescent="0.25">
      <c r="A39" s="187" t="s">
        <v>631</v>
      </c>
      <c r="B39" s="187" t="s">
        <v>632</v>
      </c>
      <c r="C39" s="189">
        <v>0</v>
      </c>
      <c r="D39" s="189">
        <v>3604936</v>
      </c>
      <c r="E39" s="189">
        <v>0</v>
      </c>
      <c r="F39" s="189">
        <v>3604936</v>
      </c>
    </row>
    <row r="40" spans="1:6" x14ac:dyDescent="0.25">
      <c r="A40" s="187" t="s">
        <v>633</v>
      </c>
      <c r="B40" s="187" t="s">
        <v>634</v>
      </c>
      <c r="C40" s="189">
        <v>17333065</v>
      </c>
      <c r="D40" s="189">
        <v>17333065</v>
      </c>
      <c r="E40" s="189">
        <v>8267512</v>
      </c>
      <c r="F40" s="189">
        <v>8267512</v>
      </c>
    </row>
  </sheetData>
  <sheetProtection formatCells="0" formatColumns="0" formatRows="0" insertColumns="0" insertRows="0" insertHyperlinks="0" deleteColumns="0" deleteRows="0" sort="0" autoFilter="0" pivotTables="0"/>
  <mergeCells count="5">
    <mergeCell ref="A1:F1"/>
    <mergeCell ref="A2:F2"/>
    <mergeCell ref="A3:F3"/>
    <mergeCell ref="C5:D5"/>
    <mergeCell ref="E5:F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D9CC9-5438-484A-B69E-D38A36771CE4}">
  <dimension ref="A1:K82"/>
  <sheetViews>
    <sheetView tabSelected="1" topLeftCell="A51" workbookViewId="0">
      <selection activeCell="E77" sqref="E77"/>
    </sheetView>
  </sheetViews>
  <sheetFormatPr defaultColWidth="0" defaultRowHeight="15" zeroHeight="1" x14ac:dyDescent="0.25"/>
  <cols>
    <col min="1" max="1" width="6.85546875" customWidth="1"/>
    <col min="2" max="3" width="3.5703125" customWidth="1"/>
    <col min="4" max="4" width="35.85546875" customWidth="1"/>
    <col min="5" max="5" width="9.140625" customWidth="1"/>
    <col min="6" max="6" width="10.28515625" customWidth="1"/>
    <col min="7" max="7" width="12.85546875" customWidth="1"/>
    <col min="8" max="8" width="24.85546875" customWidth="1"/>
    <col min="9" max="9" width="17.7109375" customWidth="1"/>
    <col min="10" max="10" width="3.5703125" customWidth="1"/>
    <col min="11" max="11" width="8.85546875" customWidth="1"/>
    <col min="12" max="16384" width="8.85546875" hidden="1"/>
  </cols>
  <sheetData>
    <row r="1" spans="1:11" ht="27.6" customHeight="1" x14ac:dyDescent="0.3">
      <c r="A1" s="136"/>
      <c r="B1" s="137"/>
      <c r="C1" s="201">
        <v>2529</v>
      </c>
      <c r="D1" s="201"/>
      <c r="E1" s="201"/>
      <c r="F1" s="202" t="s">
        <v>635</v>
      </c>
      <c r="G1" s="202"/>
      <c r="H1" s="202"/>
      <c r="I1" s="202"/>
      <c r="J1" s="136"/>
      <c r="K1" s="136"/>
    </row>
    <row r="2" spans="1:11" x14ac:dyDescent="0.25">
      <c r="A2" s="136"/>
      <c r="B2" s="136"/>
      <c r="C2" s="136"/>
      <c r="D2" s="138"/>
      <c r="E2" s="138"/>
      <c r="F2" s="136"/>
      <c r="G2" s="136"/>
      <c r="H2" s="136"/>
      <c r="I2" s="136"/>
      <c r="J2" s="136"/>
      <c r="K2" s="136"/>
    </row>
    <row r="3" spans="1:11" x14ac:dyDescent="0.25">
      <c r="A3" s="136"/>
      <c r="B3" s="203" t="s">
        <v>330</v>
      </c>
      <c r="C3" s="203"/>
      <c r="D3" s="203"/>
      <c r="E3" s="203"/>
      <c r="F3" s="203"/>
      <c r="G3" s="203"/>
      <c r="H3" s="203"/>
      <c r="I3" s="203"/>
      <c r="J3" s="203"/>
      <c r="K3" s="136"/>
    </row>
    <row r="4" spans="1:11" x14ac:dyDescent="0.25">
      <c r="A4" s="136"/>
      <c r="B4" s="139"/>
      <c r="C4" s="136"/>
      <c r="D4" s="140"/>
      <c r="E4" s="140"/>
      <c r="F4" s="140"/>
      <c r="G4" s="140"/>
      <c r="H4" s="140"/>
      <c r="I4" s="140"/>
      <c r="J4" s="141"/>
      <c r="K4" s="136"/>
    </row>
    <row r="5" spans="1:11" x14ac:dyDescent="0.25">
      <c r="A5" s="136"/>
      <c r="B5" s="142"/>
      <c r="C5" s="136" t="s">
        <v>331</v>
      </c>
      <c r="D5" s="141"/>
      <c r="E5" s="219" t="s">
        <v>396</v>
      </c>
      <c r="F5" s="220"/>
      <c r="G5" s="221"/>
      <c r="H5" s="136"/>
      <c r="I5" s="136"/>
      <c r="J5" s="141"/>
      <c r="K5" s="136"/>
    </row>
    <row r="6" spans="1:11" x14ac:dyDescent="0.25">
      <c r="A6" s="136"/>
      <c r="B6" s="142"/>
      <c r="C6" s="136"/>
      <c r="D6" s="136"/>
      <c r="E6" s="136"/>
      <c r="F6" s="136"/>
      <c r="G6" s="136"/>
      <c r="H6" s="136"/>
      <c r="I6" s="143"/>
      <c r="J6" s="141"/>
      <c r="K6" s="136"/>
    </row>
    <row r="7" spans="1:11" x14ac:dyDescent="0.25">
      <c r="A7" s="136"/>
      <c r="B7" s="142"/>
      <c r="C7" s="136" t="s">
        <v>332</v>
      </c>
      <c r="D7" s="141"/>
      <c r="E7" s="219" t="s">
        <v>126</v>
      </c>
      <c r="F7" s="220"/>
      <c r="G7" s="220"/>
      <c r="H7" s="220"/>
      <c r="I7" s="221"/>
      <c r="J7" s="141"/>
      <c r="K7" s="136"/>
    </row>
    <row r="8" spans="1:11" x14ac:dyDescent="0.25">
      <c r="A8" s="136"/>
      <c r="B8" s="142"/>
      <c r="C8" s="136"/>
      <c r="D8" s="136"/>
      <c r="E8" s="136"/>
      <c r="F8" s="136"/>
      <c r="G8" s="136"/>
      <c r="H8" s="136"/>
      <c r="I8" s="144"/>
      <c r="J8" s="141"/>
      <c r="K8" s="136"/>
    </row>
    <row r="9" spans="1:11" x14ac:dyDescent="0.25">
      <c r="A9" s="136"/>
      <c r="B9" s="142"/>
      <c r="C9" s="136" t="s">
        <v>439</v>
      </c>
      <c r="D9" s="141"/>
      <c r="E9" s="219" t="s">
        <v>140</v>
      </c>
      <c r="F9" s="220"/>
      <c r="G9" s="220"/>
      <c r="H9" s="220"/>
      <c r="I9" s="221"/>
      <c r="J9" s="141"/>
      <c r="K9" s="136"/>
    </row>
    <row r="10" spans="1:11" x14ac:dyDescent="0.25">
      <c r="A10" s="136"/>
      <c r="B10" s="142"/>
      <c r="C10" s="136"/>
      <c r="D10" s="136"/>
      <c r="E10" s="136"/>
      <c r="F10" s="136"/>
      <c r="G10" s="136"/>
      <c r="H10" s="136"/>
      <c r="I10" s="144"/>
      <c r="J10" s="141"/>
      <c r="K10" s="136"/>
    </row>
    <row r="11" spans="1:11" x14ac:dyDescent="0.25">
      <c r="A11" s="136"/>
      <c r="B11" s="142"/>
      <c r="C11" s="136" t="s">
        <v>333</v>
      </c>
      <c r="D11" s="141"/>
      <c r="E11" s="219" t="s">
        <v>117</v>
      </c>
      <c r="F11" s="221"/>
      <c r="G11" s="136"/>
      <c r="H11" s="136" t="s">
        <v>334</v>
      </c>
      <c r="I11" s="156"/>
      <c r="J11" s="141"/>
      <c r="K11" s="136"/>
    </row>
    <row r="12" spans="1:11" x14ac:dyDescent="0.25">
      <c r="A12" s="136"/>
      <c r="B12" s="142"/>
      <c r="C12" s="136"/>
      <c r="D12" s="136"/>
      <c r="E12" s="136"/>
      <c r="F12" s="136"/>
      <c r="G12" s="136"/>
      <c r="H12" s="136"/>
      <c r="I12" s="145"/>
      <c r="J12" s="141"/>
      <c r="K12" s="136"/>
    </row>
    <row r="13" spans="1:11" x14ac:dyDescent="0.25">
      <c r="A13" s="136"/>
      <c r="B13" s="142"/>
      <c r="C13" s="136" t="s">
        <v>335</v>
      </c>
      <c r="D13" s="136"/>
      <c r="E13" s="136" t="s">
        <v>336</v>
      </c>
      <c r="F13" s="136"/>
      <c r="G13" s="136"/>
      <c r="H13" s="136" t="s">
        <v>337</v>
      </c>
      <c r="I13" s="136"/>
      <c r="J13" s="141"/>
      <c r="K13" s="136"/>
    </row>
    <row r="14" spans="1:11" x14ac:dyDescent="0.25">
      <c r="A14" s="136"/>
      <c r="B14" s="142"/>
      <c r="C14" s="136"/>
      <c r="D14" s="136"/>
      <c r="E14" s="324">
        <v>45933</v>
      </c>
      <c r="F14" s="328"/>
      <c r="G14" s="136"/>
      <c r="H14" s="184">
        <v>45952</v>
      </c>
      <c r="I14" s="136"/>
      <c r="J14" s="141"/>
      <c r="K14" s="136"/>
    </row>
    <row r="15" spans="1:11" x14ac:dyDescent="0.25">
      <c r="A15" s="136"/>
      <c r="B15" s="142"/>
      <c r="C15" s="136"/>
      <c r="D15" s="136"/>
      <c r="E15" s="136"/>
      <c r="F15" s="136"/>
      <c r="G15" s="136"/>
      <c r="H15" s="136"/>
      <c r="I15" s="136"/>
      <c r="J15" s="141"/>
      <c r="K15" s="136"/>
    </row>
    <row r="16" spans="1:11" x14ac:dyDescent="0.25">
      <c r="A16" s="136"/>
      <c r="B16" s="142"/>
      <c r="C16" s="136" t="s">
        <v>338</v>
      </c>
      <c r="D16" s="136"/>
      <c r="E16" s="136"/>
      <c r="F16" s="136"/>
      <c r="G16" s="136"/>
      <c r="H16" s="136"/>
      <c r="I16" s="136"/>
      <c r="J16" s="141"/>
      <c r="K16" s="136"/>
    </row>
    <row r="17" spans="1:11" x14ac:dyDescent="0.25">
      <c r="A17" s="136"/>
      <c r="B17" s="142"/>
      <c r="C17" s="136"/>
      <c r="D17" s="136"/>
      <c r="E17" s="219" t="s">
        <v>180</v>
      </c>
      <c r="F17" s="220"/>
      <c r="G17" s="220"/>
      <c r="H17" s="221"/>
      <c r="I17" s="136"/>
      <c r="J17" s="141"/>
      <c r="K17" s="136"/>
    </row>
    <row r="18" spans="1:11" x14ac:dyDescent="0.25">
      <c r="A18" s="136"/>
      <c r="B18" s="142"/>
      <c r="C18" s="136"/>
      <c r="D18" s="136"/>
      <c r="E18" s="136"/>
      <c r="F18" s="136"/>
      <c r="G18" s="136"/>
      <c r="H18" s="136"/>
      <c r="I18" s="136"/>
      <c r="J18" s="141"/>
      <c r="K18" s="136"/>
    </row>
    <row r="19" spans="1:11" x14ac:dyDescent="0.25">
      <c r="A19" s="136"/>
      <c r="B19" s="142"/>
      <c r="C19" s="136" t="s">
        <v>339</v>
      </c>
      <c r="D19" s="136"/>
      <c r="E19" s="136"/>
      <c r="F19" s="136"/>
      <c r="G19" s="136"/>
      <c r="H19" s="136"/>
      <c r="I19" s="136"/>
      <c r="J19" s="141"/>
      <c r="K19" s="136"/>
    </row>
    <row r="20" spans="1:11" x14ac:dyDescent="0.25">
      <c r="A20" s="136"/>
      <c r="B20" s="142"/>
      <c r="C20" s="136"/>
      <c r="D20" s="136"/>
      <c r="E20" s="136"/>
      <c r="F20" s="136"/>
      <c r="G20" s="136"/>
      <c r="H20" s="136"/>
      <c r="I20" s="143"/>
      <c r="J20" s="141"/>
      <c r="K20" s="136"/>
    </row>
    <row r="21" spans="1:11" x14ac:dyDescent="0.25">
      <c r="A21" s="136"/>
      <c r="B21" s="142"/>
      <c r="C21" s="219" t="s">
        <v>398</v>
      </c>
      <c r="D21" s="221"/>
      <c r="E21" s="136"/>
      <c r="F21" s="324">
        <v>46009</v>
      </c>
      <c r="G21" s="328"/>
      <c r="H21" s="136"/>
      <c r="I21" s="147" t="s">
        <v>158</v>
      </c>
      <c r="J21" s="141"/>
      <c r="K21" s="136"/>
    </row>
    <row r="22" spans="1:11" x14ac:dyDescent="0.25">
      <c r="A22" s="136"/>
      <c r="B22" s="142"/>
      <c r="C22" s="136"/>
      <c r="D22" s="148" t="s">
        <v>340</v>
      </c>
      <c r="E22" s="136"/>
      <c r="F22" s="320" t="s">
        <v>341</v>
      </c>
      <c r="G22" s="320"/>
      <c r="H22" s="136"/>
      <c r="I22" s="149" t="s">
        <v>342</v>
      </c>
      <c r="J22" s="141"/>
      <c r="K22" s="136"/>
    </row>
    <row r="23" spans="1:11" x14ac:dyDescent="0.25">
      <c r="A23" s="136"/>
      <c r="B23" s="150"/>
      <c r="C23" s="143"/>
      <c r="D23" s="143"/>
      <c r="E23" s="143"/>
      <c r="F23" s="143"/>
      <c r="G23" s="143"/>
      <c r="H23" s="143"/>
      <c r="I23" s="143"/>
      <c r="J23" s="151"/>
      <c r="K23" s="136"/>
    </row>
    <row r="24" spans="1:11" x14ac:dyDescent="0.25">
      <c r="A24" s="136"/>
      <c r="B24" s="136"/>
      <c r="C24" s="136"/>
      <c r="D24" s="136"/>
      <c r="E24" s="136"/>
      <c r="F24" s="136"/>
      <c r="G24" s="136"/>
      <c r="H24" s="136"/>
      <c r="I24" s="136"/>
      <c r="J24" s="136"/>
      <c r="K24" s="136"/>
    </row>
    <row r="25" spans="1:11" x14ac:dyDescent="0.25">
      <c r="A25" s="136"/>
      <c r="B25" s="203" t="s">
        <v>636</v>
      </c>
      <c r="C25" s="203"/>
      <c r="D25" s="203"/>
      <c r="E25" s="203"/>
      <c r="F25" s="203"/>
      <c r="G25" s="203"/>
      <c r="H25" s="203"/>
      <c r="I25" s="203"/>
      <c r="J25" s="203"/>
      <c r="K25" s="136"/>
    </row>
    <row r="26" spans="1:11" x14ac:dyDescent="0.25">
      <c r="A26" s="136"/>
      <c r="B26" s="139"/>
      <c r="C26" s="136"/>
      <c r="D26" s="136"/>
      <c r="E26" s="136"/>
      <c r="F26" s="136"/>
      <c r="G26" s="136"/>
      <c r="H26" s="136"/>
      <c r="I26" s="136"/>
      <c r="J26" s="141"/>
      <c r="K26" s="136"/>
    </row>
    <row r="27" spans="1:11" x14ac:dyDescent="0.25">
      <c r="A27" s="136"/>
      <c r="B27" s="142"/>
      <c r="C27" s="136"/>
      <c r="D27" s="138"/>
      <c r="E27" s="136"/>
      <c r="F27" s="136"/>
      <c r="G27" s="136"/>
      <c r="H27" s="136"/>
      <c r="I27" s="152" t="s">
        <v>345</v>
      </c>
      <c r="J27" s="141"/>
      <c r="K27" s="136"/>
    </row>
    <row r="28" spans="1:11" x14ac:dyDescent="0.25">
      <c r="A28" s="136"/>
      <c r="B28" s="142"/>
      <c r="C28" s="136"/>
      <c r="D28" s="136"/>
      <c r="E28" s="136"/>
      <c r="F28" s="136"/>
      <c r="G28" s="136"/>
      <c r="H28" s="148"/>
      <c r="I28" s="153" t="s">
        <v>347</v>
      </c>
      <c r="J28" s="141"/>
      <c r="K28" s="136"/>
    </row>
    <row r="29" spans="1:11" x14ac:dyDescent="0.25">
      <c r="A29" s="136"/>
      <c r="B29" s="154"/>
      <c r="C29" s="161" t="s">
        <v>125</v>
      </c>
      <c r="D29" s="138" t="s">
        <v>637</v>
      </c>
      <c r="E29" s="138"/>
      <c r="F29" s="138"/>
      <c r="G29" s="138"/>
      <c r="H29" s="138"/>
      <c r="I29" s="178">
        <f>+I78</f>
        <v>3108</v>
      </c>
      <c r="J29" s="157"/>
      <c r="K29" s="158"/>
    </row>
    <row r="30" spans="1:11" x14ac:dyDescent="0.25">
      <c r="A30" s="136"/>
      <c r="B30" s="154"/>
      <c r="C30" s="155" t="s">
        <v>128</v>
      </c>
      <c r="D30" s="136" t="s">
        <v>638</v>
      </c>
      <c r="E30" s="136"/>
      <c r="F30" s="136"/>
      <c r="G30" s="136"/>
      <c r="H30" s="136"/>
      <c r="I30" s="178">
        <f>+I48</f>
        <v>83</v>
      </c>
      <c r="J30" s="157"/>
      <c r="K30" s="158"/>
    </row>
    <row r="31" spans="1:11" x14ac:dyDescent="0.25">
      <c r="A31" s="136"/>
      <c r="B31" s="154"/>
      <c r="C31" s="155" t="s">
        <v>132</v>
      </c>
      <c r="D31" s="136" t="s">
        <v>639</v>
      </c>
      <c r="E31" s="136"/>
      <c r="F31" s="136"/>
      <c r="G31" s="136"/>
      <c r="H31" s="136"/>
      <c r="I31" s="178">
        <f>+I62</f>
        <v>83</v>
      </c>
      <c r="J31" s="157"/>
      <c r="K31" s="158"/>
    </row>
    <row r="32" spans="1:11" x14ac:dyDescent="0.25">
      <c r="A32" s="136"/>
      <c r="B32" s="154"/>
      <c r="C32" s="161" t="s">
        <v>147</v>
      </c>
      <c r="D32" s="138" t="s">
        <v>640</v>
      </c>
      <c r="E32" s="138"/>
      <c r="F32" s="138"/>
      <c r="G32" s="138"/>
      <c r="H32" s="138"/>
      <c r="I32" s="178">
        <f>+I29-I30+I31</f>
        <v>3108</v>
      </c>
      <c r="J32" s="157"/>
      <c r="K32" s="158"/>
    </row>
    <row r="33" spans="1:11" x14ac:dyDescent="0.25">
      <c r="A33" s="136"/>
      <c r="B33" s="154"/>
      <c r="C33" s="161" t="s">
        <v>161</v>
      </c>
      <c r="D33" s="138" t="s">
        <v>641</v>
      </c>
      <c r="E33" s="138"/>
      <c r="F33" s="138"/>
      <c r="G33" s="138"/>
      <c r="H33" s="138"/>
      <c r="I33" s="178">
        <f>+MAX(ROUND(I32*9%,0),0)</f>
        <v>280</v>
      </c>
      <c r="J33" s="157"/>
      <c r="K33" s="158"/>
    </row>
    <row r="34" spans="1:11" x14ac:dyDescent="0.25">
      <c r="A34" s="136"/>
      <c r="B34" s="154"/>
      <c r="C34" s="155" t="s">
        <v>163</v>
      </c>
      <c r="D34" s="136" t="s">
        <v>642</v>
      </c>
      <c r="E34" s="136"/>
      <c r="F34" s="136"/>
      <c r="G34" s="136"/>
      <c r="H34" s="136"/>
      <c r="I34" s="156"/>
      <c r="J34" s="157"/>
      <c r="K34" s="158"/>
    </row>
    <row r="35" spans="1:11" x14ac:dyDescent="0.25">
      <c r="A35" s="136"/>
      <c r="B35" s="154"/>
      <c r="C35" s="161" t="s">
        <v>218</v>
      </c>
      <c r="D35" s="138" t="s">
        <v>643</v>
      </c>
      <c r="E35" s="138"/>
      <c r="F35" s="138"/>
      <c r="G35" s="138"/>
      <c r="H35" s="138"/>
      <c r="I35" s="178">
        <f>+I33-I34</f>
        <v>280</v>
      </c>
      <c r="J35" s="157"/>
      <c r="K35" s="158"/>
    </row>
    <row r="36" spans="1:11" x14ac:dyDescent="0.25">
      <c r="A36" s="136"/>
      <c r="B36" s="164"/>
      <c r="C36" s="165"/>
      <c r="D36" s="143"/>
      <c r="E36" s="143"/>
      <c r="F36" s="143"/>
      <c r="G36" s="143"/>
      <c r="H36" s="143"/>
      <c r="I36" s="144"/>
      <c r="J36" s="151"/>
      <c r="K36" s="136"/>
    </row>
    <row r="37" spans="1:11" x14ac:dyDescent="0.25">
      <c r="A37" s="136"/>
      <c r="B37" s="155"/>
      <c r="C37" s="155"/>
      <c r="D37" s="136"/>
      <c r="E37" s="136"/>
      <c r="F37" s="136"/>
      <c r="G37" s="136"/>
      <c r="H37" s="136"/>
      <c r="I37" s="136"/>
      <c r="J37" s="136"/>
      <c r="K37" s="136"/>
    </row>
    <row r="38" spans="1:11" x14ac:dyDescent="0.25">
      <c r="A38" s="136"/>
      <c r="B38" s="203" t="s">
        <v>644</v>
      </c>
      <c r="C38" s="203"/>
      <c r="D38" s="203"/>
      <c r="E38" s="203"/>
      <c r="F38" s="203"/>
      <c r="G38" s="203"/>
      <c r="H38" s="203"/>
      <c r="I38" s="203"/>
      <c r="J38" s="203"/>
      <c r="K38" s="136"/>
    </row>
    <row r="39" spans="1:11" x14ac:dyDescent="0.25">
      <c r="A39" s="136"/>
      <c r="B39" s="166"/>
      <c r="C39" s="155"/>
      <c r="D39" s="136"/>
      <c r="E39" s="136"/>
      <c r="F39" s="136"/>
      <c r="G39" s="136"/>
      <c r="H39" s="136"/>
      <c r="I39" s="136"/>
      <c r="J39" s="141"/>
      <c r="K39" s="136"/>
    </row>
    <row r="40" spans="1:11" x14ac:dyDescent="0.25">
      <c r="A40" s="136"/>
      <c r="B40" s="154"/>
      <c r="C40" s="155"/>
      <c r="D40" s="138"/>
      <c r="E40" s="136"/>
      <c r="F40" s="136"/>
      <c r="G40" s="136"/>
      <c r="H40" s="136"/>
      <c r="I40" s="152" t="s">
        <v>345</v>
      </c>
      <c r="J40" s="141"/>
      <c r="K40" s="136"/>
    </row>
    <row r="41" spans="1:11" x14ac:dyDescent="0.25">
      <c r="A41" s="136"/>
      <c r="B41" s="154"/>
      <c r="C41" s="155"/>
      <c r="D41" s="136"/>
      <c r="E41" s="136"/>
      <c r="F41" s="136"/>
      <c r="G41" s="136"/>
      <c r="H41" s="148"/>
      <c r="I41" s="153" t="s">
        <v>347</v>
      </c>
      <c r="J41" s="141"/>
      <c r="K41" s="136"/>
    </row>
    <row r="42" spans="1:11" x14ac:dyDescent="0.25">
      <c r="A42" s="136"/>
      <c r="B42" s="154"/>
      <c r="C42" s="155" t="s">
        <v>355</v>
      </c>
      <c r="D42" s="136" t="s">
        <v>645</v>
      </c>
      <c r="E42" s="136"/>
      <c r="F42" s="136"/>
      <c r="G42" s="136"/>
      <c r="H42" s="148"/>
      <c r="I42" s="156"/>
      <c r="J42" s="141"/>
      <c r="K42" s="136"/>
    </row>
    <row r="43" spans="1:11" x14ac:dyDescent="0.25">
      <c r="A43" s="136"/>
      <c r="B43" s="154"/>
      <c r="C43" s="155" t="s">
        <v>357</v>
      </c>
      <c r="D43" s="136" t="s">
        <v>646</v>
      </c>
      <c r="E43" s="136"/>
      <c r="F43" s="136"/>
      <c r="G43" s="136"/>
      <c r="H43" s="148"/>
      <c r="I43" s="156"/>
      <c r="J43" s="157"/>
      <c r="K43" s="158"/>
    </row>
    <row r="44" spans="1:11" x14ac:dyDescent="0.25">
      <c r="A44" s="136"/>
      <c r="B44" s="154"/>
      <c r="C44" s="155" t="s">
        <v>358</v>
      </c>
      <c r="D44" s="136" t="s">
        <v>647</v>
      </c>
      <c r="E44" s="136"/>
      <c r="F44" s="136"/>
      <c r="G44" s="136"/>
      <c r="H44" s="148"/>
      <c r="I44" s="156">
        <v>83</v>
      </c>
      <c r="J44" s="157"/>
      <c r="K44" s="158"/>
    </row>
    <row r="45" spans="1:11" x14ac:dyDescent="0.25">
      <c r="A45" s="136"/>
      <c r="B45" s="154"/>
      <c r="C45" s="155" t="s">
        <v>360</v>
      </c>
      <c r="D45" s="136" t="s">
        <v>648</v>
      </c>
      <c r="E45" s="136"/>
      <c r="F45" s="136"/>
      <c r="G45" s="136"/>
      <c r="H45" s="148"/>
      <c r="I45" s="156"/>
      <c r="J45" s="157"/>
      <c r="K45" s="158"/>
    </row>
    <row r="46" spans="1:11" x14ac:dyDescent="0.25">
      <c r="A46" s="136"/>
      <c r="B46" s="154"/>
      <c r="C46" s="155" t="s">
        <v>364</v>
      </c>
      <c r="D46" s="136" t="s">
        <v>649</v>
      </c>
      <c r="E46" s="136"/>
      <c r="F46" s="136"/>
      <c r="G46" s="136"/>
      <c r="H46" s="148"/>
      <c r="I46" s="156"/>
      <c r="J46" s="141"/>
      <c r="K46" s="136"/>
    </row>
    <row r="47" spans="1:11" x14ac:dyDescent="0.25">
      <c r="A47" s="136"/>
      <c r="B47" s="154"/>
      <c r="C47" s="155" t="s">
        <v>366</v>
      </c>
      <c r="D47" s="136" t="s">
        <v>650</v>
      </c>
      <c r="E47" s="136"/>
      <c r="F47" s="136"/>
      <c r="G47" s="136"/>
      <c r="H47" s="148"/>
      <c r="I47" s="156"/>
      <c r="J47" s="141"/>
      <c r="K47" s="136"/>
    </row>
    <row r="48" spans="1:11" x14ac:dyDescent="0.25">
      <c r="A48" s="136"/>
      <c r="B48" s="160"/>
      <c r="C48" s="161" t="s">
        <v>368</v>
      </c>
      <c r="D48" s="138" t="s">
        <v>12</v>
      </c>
      <c r="E48" s="138"/>
      <c r="F48" s="138"/>
      <c r="G48" s="138"/>
      <c r="H48" s="148"/>
      <c r="I48" s="167">
        <f>SUM(I42:I47)</f>
        <v>83</v>
      </c>
      <c r="J48" s="141"/>
      <c r="K48" s="136"/>
    </row>
    <row r="49" spans="1:11" x14ac:dyDescent="0.25">
      <c r="A49" s="136"/>
      <c r="B49" s="164"/>
      <c r="C49" s="165"/>
      <c r="D49" s="168"/>
      <c r="E49" s="143"/>
      <c r="F49" s="143"/>
      <c r="G49" s="143"/>
      <c r="H49" s="190"/>
      <c r="I49" s="191"/>
      <c r="J49" s="151"/>
      <c r="K49" s="136"/>
    </row>
    <row r="50" spans="1:11" x14ac:dyDescent="0.25">
      <c r="A50" s="136"/>
      <c r="B50" s="155"/>
      <c r="C50" s="155"/>
      <c r="D50" s="136"/>
      <c r="E50" s="136"/>
      <c r="F50" s="136"/>
      <c r="G50" s="136"/>
      <c r="H50" s="136"/>
      <c r="I50" s="136"/>
      <c r="J50" s="136"/>
      <c r="K50" s="136"/>
    </row>
    <row r="51" spans="1:11" x14ac:dyDescent="0.25">
      <c r="A51" s="136"/>
      <c r="B51" s="203" t="s">
        <v>651</v>
      </c>
      <c r="C51" s="203"/>
      <c r="D51" s="203"/>
      <c r="E51" s="203"/>
      <c r="F51" s="203"/>
      <c r="G51" s="203"/>
      <c r="H51" s="203"/>
      <c r="I51" s="203"/>
      <c r="J51" s="203"/>
      <c r="K51" s="136"/>
    </row>
    <row r="52" spans="1:11" x14ac:dyDescent="0.25">
      <c r="A52" s="136"/>
      <c r="B52" s="166"/>
      <c r="C52" s="155"/>
      <c r="D52" s="136"/>
      <c r="E52" s="136"/>
      <c r="F52" s="136"/>
      <c r="G52" s="136"/>
      <c r="H52" s="136"/>
      <c r="I52" s="136"/>
      <c r="J52" s="141"/>
      <c r="K52" s="136"/>
    </row>
    <row r="53" spans="1:11" x14ac:dyDescent="0.25">
      <c r="A53" s="136"/>
      <c r="B53" s="154"/>
      <c r="C53" s="155"/>
      <c r="D53" s="138"/>
      <c r="E53" s="136"/>
      <c r="F53" s="136"/>
      <c r="G53" s="136"/>
      <c r="H53" s="136"/>
      <c r="I53" s="152" t="s">
        <v>345</v>
      </c>
      <c r="J53" s="141"/>
      <c r="K53" s="136"/>
    </row>
    <row r="54" spans="1:11" x14ac:dyDescent="0.25">
      <c r="A54" s="136"/>
      <c r="B54" s="154"/>
      <c r="C54" s="155"/>
      <c r="D54" s="136"/>
      <c r="E54" s="136"/>
      <c r="F54" s="136"/>
      <c r="G54" s="136"/>
      <c r="H54" s="148"/>
      <c r="I54" s="153" t="s">
        <v>347</v>
      </c>
      <c r="J54" s="141"/>
      <c r="K54" s="136"/>
    </row>
    <row r="55" spans="1:11" x14ac:dyDescent="0.25">
      <c r="A55" s="136"/>
      <c r="B55" s="154"/>
      <c r="C55" s="155" t="s">
        <v>370</v>
      </c>
      <c r="D55" s="136" t="s">
        <v>652</v>
      </c>
      <c r="E55" s="136"/>
      <c r="F55" s="136"/>
      <c r="G55" s="136"/>
      <c r="H55" s="148"/>
      <c r="I55" s="156"/>
      <c r="J55" s="141"/>
      <c r="K55" s="136"/>
    </row>
    <row r="56" spans="1:11" x14ac:dyDescent="0.25">
      <c r="A56" s="136"/>
      <c r="B56" s="154"/>
      <c r="C56" s="155" t="s">
        <v>372</v>
      </c>
      <c r="D56" s="136" t="s">
        <v>653</v>
      </c>
      <c r="E56" s="136"/>
      <c r="F56" s="136"/>
      <c r="G56" s="136"/>
      <c r="H56" s="148"/>
      <c r="I56" s="156">
        <v>83</v>
      </c>
      <c r="J56" s="157"/>
      <c r="K56" s="158"/>
    </row>
    <row r="57" spans="1:11" x14ac:dyDescent="0.25">
      <c r="A57" s="136"/>
      <c r="B57" s="154"/>
      <c r="C57" s="155" t="s">
        <v>374</v>
      </c>
      <c r="D57" s="136" t="s">
        <v>654</v>
      </c>
      <c r="E57" s="136"/>
      <c r="F57" s="136"/>
      <c r="G57" s="136"/>
      <c r="H57" s="148"/>
      <c r="I57" s="156"/>
      <c r="J57" s="157"/>
      <c r="K57" s="158"/>
    </row>
    <row r="58" spans="1:11" x14ac:dyDescent="0.25">
      <c r="A58" s="136"/>
      <c r="B58" s="154"/>
      <c r="C58" s="155" t="s">
        <v>376</v>
      </c>
      <c r="D58" s="136" t="s">
        <v>655</v>
      </c>
      <c r="E58" s="136"/>
      <c r="F58" s="136"/>
      <c r="G58" s="136"/>
      <c r="H58" s="148"/>
      <c r="I58" s="156"/>
      <c r="J58" s="157"/>
      <c r="K58" s="158"/>
    </row>
    <row r="59" spans="1:11" x14ac:dyDescent="0.25">
      <c r="A59" s="136"/>
      <c r="B59" s="154"/>
      <c r="C59" s="155" t="s">
        <v>377</v>
      </c>
      <c r="D59" s="136" t="s">
        <v>656</v>
      </c>
      <c r="E59" s="136"/>
      <c r="F59" s="136"/>
      <c r="G59" s="136"/>
      <c r="H59" s="148"/>
      <c r="I59" s="156"/>
      <c r="J59" s="141"/>
      <c r="K59" s="136"/>
    </row>
    <row r="60" spans="1:11" x14ac:dyDescent="0.25">
      <c r="A60" s="136"/>
      <c r="B60" s="154"/>
      <c r="C60" s="155" t="s">
        <v>378</v>
      </c>
      <c r="D60" s="136" t="s">
        <v>657</v>
      </c>
      <c r="E60" s="136"/>
      <c r="F60" s="136"/>
      <c r="G60" s="136"/>
      <c r="H60" s="148"/>
      <c r="I60" s="156"/>
      <c r="J60" s="141"/>
      <c r="K60" s="136"/>
    </row>
    <row r="61" spans="1:11" x14ac:dyDescent="0.25">
      <c r="A61" s="136"/>
      <c r="B61" s="154"/>
      <c r="C61" s="155" t="s">
        <v>379</v>
      </c>
      <c r="D61" s="136" t="s">
        <v>658</v>
      </c>
      <c r="E61" s="136"/>
      <c r="F61" s="136"/>
      <c r="G61" s="136"/>
      <c r="H61" s="148"/>
      <c r="I61" s="156"/>
      <c r="J61" s="141"/>
      <c r="K61" s="136"/>
    </row>
    <row r="62" spans="1:11" x14ac:dyDescent="0.25">
      <c r="A62" s="136"/>
      <c r="B62" s="160"/>
      <c r="C62" s="161" t="s">
        <v>381</v>
      </c>
      <c r="D62" s="138" t="s">
        <v>12</v>
      </c>
      <c r="E62" s="138"/>
      <c r="F62" s="138"/>
      <c r="G62" s="138"/>
      <c r="H62" s="148"/>
      <c r="I62" s="167">
        <f>SUM(I55:I61)</f>
        <v>83</v>
      </c>
      <c r="J62" s="141"/>
      <c r="K62" s="136"/>
    </row>
    <row r="63" spans="1:11" x14ac:dyDescent="0.25">
      <c r="A63" s="136"/>
      <c r="B63" s="164"/>
      <c r="C63" s="165"/>
      <c r="D63" s="168"/>
      <c r="E63" s="143"/>
      <c r="F63" s="143"/>
      <c r="G63" s="143"/>
      <c r="H63" s="190"/>
      <c r="I63" s="191"/>
      <c r="J63" s="151"/>
      <c r="K63" s="136"/>
    </row>
    <row r="64" spans="1:11" x14ac:dyDescent="0.25">
      <c r="A64" s="136"/>
      <c r="B64" s="155"/>
      <c r="C64" s="155"/>
      <c r="D64" s="136"/>
      <c r="E64" s="136"/>
      <c r="F64" s="136"/>
      <c r="G64" s="136"/>
      <c r="H64" s="136"/>
      <c r="I64" s="136"/>
      <c r="J64" s="136"/>
      <c r="K64" s="136"/>
    </row>
    <row r="65" spans="1:11" x14ac:dyDescent="0.25">
      <c r="A65" s="136"/>
      <c r="B65" s="203" t="s">
        <v>659</v>
      </c>
      <c r="C65" s="203"/>
      <c r="D65" s="203"/>
      <c r="E65" s="203"/>
      <c r="F65" s="203"/>
      <c r="G65" s="203"/>
      <c r="H65" s="203"/>
      <c r="I65" s="203"/>
      <c r="J65" s="203"/>
      <c r="K65" s="136"/>
    </row>
    <row r="66" spans="1:11" x14ac:dyDescent="0.25">
      <c r="A66" s="136"/>
      <c r="B66" s="166"/>
      <c r="C66" s="155"/>
      <c r="D66" s="136"/>
      <c r="E66" s="136"/>
      <c r="F66" s="136"/>
      <c r="G66" s="136"/>
      <c r="H66" s="136"/>
      <c r="I66" s="136"/>
      <c r="J66" s="141"/>
      <c r="K66" s="136"/>
    </row>
    <row r="67" spans="1:11" x14ac:dyDescent="0.25">
      <c r="A67" s="136"/>
      <c r="B67" s="154"/>
      <c r="C67" s="155" t="s">
        <v>383</v>
      </c>
      <c r="D67" s="136" t="s">
        <v>660</v>
      </c>
      <c r="E67" s="136"/>
      <c r="F67" s="136"/>
      <c r="G67" s="136"/>
      <c r="H67" s="136"/>
      <c r="I67" s="156">
        <v>3600</v>
      </c>
      <c r="J67" s="141"/>
      <c r="K67" s="136"/>
    </row>
    <row r="68" spans="1:11" x14ac:dyDescent="0.25">
      <c r="A68" s="136"/>
      <c r="B68" s="154"/>
      <c r="C68" s="155" t="s">
        <v>386</v>
      </c>
      <c r="D68" s="316" t="s">
        <v>661</v>
      </c>
      <c r="E68" s="316"/>
      <c r="F68" s="316"/>
      <c r="G68" s="316"/>
      <c r="H68" s="317"/>
      <c r="I68" s="156"/>
      <c r="J68" s="141"/>
      <c r="K68" s="136"/>
    </row>
    <row r="69" spans="1:11" x14ac:dyDescent="0.25">
      <c r="A69" s="136"/>
      <c r="B69" s="154"/>
      <c r="C69" s="155" t="s">
        <v>388</v>
      </c>
      <c r="D69" s="136" t="s">
        <v>662</v>
      </c>
      <c r="E69" s="136"/>
      <c r="F69" s="136"/>
      <c r="G69" s="136"/>
      <c r="H69" s="136"/>
      <c r="I69" s="156">
        <v>0</v>
      </c>
      <c r="J69" s="141"/>
      <c r="K69" s="136"/>
    </row>
    <row r="70" spans="1:11" x14ac:dyDescent="0.25">
      <c r="A70" s="136"/>
      <c r="B70" s="154"/>
      <c r="C70" s="155" t="s">
        <v>390</v>
      </c>
      <c r="D70" s="136" t="s">
        <v>663</v>
      </c>
      <c r="E70" s="136"/>
      <c r="F70" s="136"/>
      <c r="G70" s="136"/>
      <c r="H70" s="136"/>
      <c r="I70" s="156">
        <v>341</v>
      </c>
      <c r="J70" s="141"/>
      <c r="K70" s="136"/>
    </row>
    <row r="71" spans="1:11" x14ac:dyDescent="0.25">
      <c r="A71" s="136"/>
      <c r="B71" s="154"/>
      <c r="C71" s="155" t="s">
        <v>392</v>
      </c>
      <c r="D71" s="136" t="s">
        <v>664</v>
      </c>
      <c r="E71" s="136"/>
      <c r="F71" s="136"/>
      <c r="G71" s="136"/>
      <c r="H71" s="136"/>
      <c r="I71" s="156"/>
      <c r="J71" s="141"/>
      <c r="K71" s="136"/>
    </row>
    <row r="72" spans="1:11" x14ac:dyDescent="0.25">
      <c r="A72" s="136"/>
      <c r="B72" s="154"/>
      <c r="C72" s="155" t="s">
        <v>394</v>
      </c>
      <c r="D72" s="136" t="s">
        <v>665</v>
      </c>
      <c r="E72" s="136"/>
      <c r="F72" s="136"/>
      <c r="G72" s="136"/>
      <c r="H72" s="136"/>
      <c r="I72" s="156">
        <v>83</v>
      </c>
      <c r="J72" s="141"/>
      <c r="K72" s="136"/>
    </row>
    <row r="73" spans="1:11" x14ac:dyDescent="0.25">
      <c r="A73" s="136"/>
      <c r="B73" s="154"/>
      <c r="C73" s="155" t="s">
        <v>666</v>
      </c>
      <c r="D73" s="136" t="s">
        <v>667</v>
      </c>
      <c r="E73" s="136"/>
      <c r="F73" s="136"/>
      <c r="G73" s="136"/>
      <c r="H73" s="136"/>
      <c r="I73" s="156">
        <v>72</v>
      </c>
      <c r="J73" s="141"/>
      <c r="K73" s="136"/>
    </row>
    <row r="74" spans="1:11" x14ac:dyDescent="0.25">
      <c r="A74" s="136"/>
      <c r="B74" s="154"/>
      <c r="C74" s="161" t="s">
        <v>668</v>
      </c>
      <c r="D74" s="138" t="s">
        <v>669</v>
      </c>
      <c r="E74" s="138"/>
      <c r="F74" s="138"/>
      <c r="G74" s="138"/>
      <c r="H74" s="138"/>
      <c r="I74" s="167">
        <f>+I67+I68+I69-I70-I71-I72-I73</f>
        <v>3104</v>
      </c>
      <c r="J74" s="141"/>
      <c r="K74" s="136"/>
    </row>
    <row r="75" spans="1:11" x14ac:dyDescent="0.25">
      <c r="A75" s="136"/>
      <c r="B75" s="154"/>
      <c r="C75" s="155" t="s">
        <v>670</v>
      </c>
      <c r="D75" s="136" t="s">
        <v>671</v>
      </c>
      <c r="E75" s="136"/>
      <c r="F75" s="136"/>
      <c r="G75" s="136"/>
      <c r="H75" s="136"/>
      <c r="I75" s="156">
        <v>5</v>
      </c>
      <c r="J75" s="141"/>
      <c r="K75" s="136"/>
    </row>
    <row r="76" spans="1:11" x14ac:dyDescent="0.25">
      <c r="A76" s="136"/>
      <c r="B76" s="154"/>
      <c r="C76" s="155" t="s">
        <v>672</v>
      </c>
      <c r="D76" s="136" t="s">
        <v>673</v>
      </c>
      <c r="E76" s="136"/>
      <c r="F76" s="136"/>
      <c r="G76" s="136"/>
      <c r="H76" s="136"/>
      <c r="I76" s="156">
        <v>1</v>
      </c>
      <c r="J76" s="141"/>
      <c r="K76" s="136"/>
    </row>
    <row r="77" spans="1:11" x14ac:dyDescent="0.25">
      <c r="A77" s="136"/>
      <c r="B77" s="154"/>
      <c r="C77" s="161" t="s">
        <v>674</v>
      </c>
      <c r="D77" s="138" t="s">
        <v>675</v>
      </c>
      <c r="E77" s="138"/>
      <c r="F77" s="138"/>
      <c r="G77" s="138"/>
      <c r="H77" s="138"/>
      <c r="I77" s="167">
        <f>+I75-I76</f>
        <v>4</v>
      </c>
      <c r="J77" s="141"/>
      <c r="K77" s="136"/>
    </row>
    <row r="78" spans="1:11" x14ac:dyDescent="0.25">
      <c r="A78" s="136"/>
      <c r="B78" s="154"/>
      <c r="C78" s="161" t="s">
        <v>676</v>
      </c>
      <c r="D78" s="138" t="s">
        <v>637</v>
      </c>
      <c r="E78" s="138"/>
      <c r="F78" s="138"/>
      <c r="G78" s="138"/>
      <c r="H78" s="138"/>
      <c r="I78" s="167">
        <f>+I74+I77</f>
        <v>3108</v>
      </c>
      <c r="J78" s="141"/>
      <c r="K78" s="136"/>
    </row>
    <row r="79" spans="1:11" x14ac:dyDescent="0.25">
      <c r="A79" s="136"/>
      <c r="B79" s="164"/>
      <c r="C79" s="165"/>
      <c r="D79" s="143"/>
      <c r="E79" s="143"/>
      <c r="F79" s="143"/>
      <c r="G79" s="143"/>
      <c r="H79" s="143"/>
      <c r="I79" s="144"/>
      <c r="J79" s="151"/>
      <c r="K79" s="136"/>
    </row>
    <row r="80" spans="1:11" x14ac:dyDescent="0.25">
      <c r="A80" s="136"/>
      <c r="B80" s="155"/>
      <c r="C80" s="155"/>
      <c r="D80" s="136"/>
      <c r="E80" s="136"/>
      <c r="F80" s="136"/>
      <c r="G80" s="136"/>
      <c r="H80" s="136"/>
      <c r="I80" s="136"/>
      <c r="J80" s="136"/>
      <c r="K80" s="136"/>
    </row>
    <row r="81" spans="2:3" hidden="1" x14ac:dyDescent="0.25">
      <c r="B81" s="169"/>
      <c r="C81" s="169"/>
    </row>
    <row r="82" spans="2:3" hidden="1" x14ac:dyDescent="0.25">
      <c r="B82" s="169"/>
      <c r="C82" s="169"/>
    </row>
  </sheetData>
  <sheetProtection algorithmName="SHA-512" hashValue="JqftHDZ6DuIfSvceaZjepO1plWlLhz5NnNntYKziDOoy7uEOVFiDfV1v1LJLNlR3JatoYVcWNNDUUElWcuno9w==" saltValue="iEsHakkf7A5jzdGKqtC3/Q==" spinCount="100000" sheet="1" objects="1" scenarios="1"/>
  <mergeCells count="17">
    <mergeCell ref="B25:J25"/>
    <mergeCell ref="B38:J38"/>
    <mergeCell ref="B51:J51"/>
    <mergeCell ref="B65:J65"/>
    <mergeCell ref="D68:H68"/>
    <mergeCell ref="F22:G22"/>
    <mergeCell ref="C1:E1"/>
    <mergeCell ref="F1:I1"/>
    <mergeCell ref="B3:J3"/>
    <mergeCell ref="E5:G5"/>
    <mergeCell ref="E7:I7"/>
    <mergeCell ref="E9:I9"/>
    <mergeCell ref="E11:F11"/>
    <mergeCell ref="E14:F14"/>
    <mergeCell ref="E17:H17"/>
    <mergeCell ref="C21:D21"/>
    <mergeCell ref="F21:G21"/>
  </mergeCells>
  <pageMargins left="0.7" right="0.7" top="0.75" bottom="0.75" header="0.3" footer="0.3"/>
  <pageSetup paperSize="9" orientation="portrait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B43B-58B0-4B1A-B0C4-F5B0E336E852}">
  <dimension ref="A1:F42"/>
  <sheetViews>
    <sheetView topLeftCell="A7" workbookViewId="0">
      <selection activeCell="A3" sqref="A3:F3"/>
    </sheetView>
  </sheetViews>
  <sheetFormatPr defaultColWidth="9.140625" defaultRowHeight="15" x14ac:dyDescent="0.25"/>
  <cols>
    <col min="1" max="1" width="15" style="186" customWidth="1"/>
    <col min="2" max="2" width="35" style="186" customWidth="1"/>
    <col min="3" max="6" width="15" style="188" customWidth="1"/>
    <col min="7" max="16384" width="9.140625" style="186"/>
  </cols>
  <sheetData>
    <row r="1" spans="1:6" x14ac:dyDescent="0.25">
      <c r="A1" s="327" t="s">
        <v>560</v>
      </c>
      <c r="B1" s="327"/>
      <c r="C1" s="327"/>
      <c r="D1" s="327"/>
      <c r="E1" s="327"/>
      <c r="F1" s="327"/>
    </row>
    <row r="2" spans="1:6" x14ac:dyDescent="0.25">
      <c r="A2" s="327" t="s">
        <v>126</v>
      </c>
      <c r="B2" s="327"/>
      <c r="C2" s="327"/>
      <c r="D2" s="327"/>
      <c r="E2" s="327"/>
      <c r="F2" s="327"/>
    </row>
    <row r="3" spans="1:6" x14ac:dyDescent="0.25">
      <c r="A3" s="327" t="s">
        <v>561</v>
      </c>
      <c r="B3" s="327"/>
      <c r="C3" s="327"/>
      <c r="D3" s="327"/>
      <c r="E3" s="327"/>
      <c r="F3" s="327"/>
    </row>
    <row r="5" spans="1:6" x14ac:dyDescent="0.25">
      <c r="A5" s="187"/>
      <c r="B5" s="187"/>
      <c r="C5" s="327" t="s">
        <v>562</v>
      </c>
      <c r="D5" s="327"/>
      <c r="E5" s="327" t="s">
        <v>563</v>
      </c>
      <c r="F5" s="327"/>
    </row>
    <row r="6" spans="1:6" x14ac:dyDescent="0.25">
      <c r="A6" s="187" t="s">
        <v>564</v>
      </c>
      <c r="B6" s="187" t="s">
        <v>282</v>
      </c>
      <c r="C6" s="185" t="s">
        <v>565</v>
      </c>
      <c r="D6" s="185" t="s">
        <v>566</v>
      </c>
      <c r="E6" s="185" t="s">
        <v>565</v>
      </c>
      <c r="F6" s="185" t="s">
        <v>566</v>
      </c>
    </row>
    <row r="7" spans="1:6" x14ac:dyDescent="0.25">
      <c r="A7" s="186" t="s">
        <v>567</v>
      </c>
      <c r="B7" s="186" t="s">
        <v>568</v>
      </c>
      <c r="C7" s="188">
        <v>82760</v>
      </c>
      <c r="D7" s="188">
        <v>0</v>
      </c>
      <c r="E7" s="188">
        <v>82760</v>
      </c>
      <c r="F7" s="188">
        <v>0</v>
      </c>
    </row>
    <row r="8" spans="1:6" x14ac:dyDescent="0.25">
      <c r="A8" s="186" t="s">
        <v>569</v>
      </c>
      <c r="B8" s="186" t="s">
        <v>570</v>
      </c>
      <c r="C8" s="188">
        <v>0</v>
      </c>
      <c r="D8" s="188">
        <v>82760</v>
      </c>
      <c r="E8" s="188">
        <v>0</v>
      </c>
      <c r="F8" s="188">
        <v>82760</v>
      </c>
    </row>
    <row r="9" spans="1:6" x14ac:dyDescent="0.25">
      <c r="A9" s="186" t="s">
        <v>571</v>
      </c>
      <c r="B9" s="186" t="s">
        <v>572</v>
      </c>
      <c r="C9" s="188">
        <v>82760</v>
      </c>
      <c r="D9" s="188">
        <v>82760</v>
      </c>
      <c r="E9" s="188">
        <v>0</v>
      </c>
      <c r="F9" s="188">
        <v>0</v>
      </c>
    </row>
    <row r="10" spans="1:6" x14ac:dyDescent="0.25">
      <c r="A10" s="187" t="s">
        <v>573</v>
      </c>
      <c r="B10" s="187" t="s">
        <v>574</v>
      </c>
      <c r="C10" s="189">
        <v>165520</v>
      </c>
      <c r="D10" s="189">
        <v>165520</v>
      </c>
      <c r="E10" s="189">
        <v>82760</v>
      </c>
      <c r="F10" s="189">
        <v>82760</v>
      </c>
    </row>
    <row r="11" spans="1:6" x14ac:dyDescent="0.25">
      <c r="A11" s="186" t="s">
        <v>575</v>
      </c>
      <c r="B11" s="186" t="s">
        <v>576</v>
      </c>
      <c r="C11" s="188">
        <v>4572000</v>
      </c>
      <c r="D11" s="188">
        <v>0</v>
      </c>
      <c r="E11" s="188">
        <v>4572000</v>
      </c>
      <c r="F11" s="188">
        <v>0</v>
      </c>
    </row>
    <row r="12" spans="1:6" x14ac:dyDescent="0.25">
      <c r="A12" s="186" t="s">
        <v>577</v>
      </c>
      <c r="B12" s="186" t="s">
        <v>578</v>
      </c>
      <c r="C12" s="188">
        <v>1841782</v>
      </c>
      <c r="D12" s="188">
        <v>1796887</v>
      </c>
      <c r="E12" s="188">
        <v>44895</v>
      </c>
      <c r="F12" s="188">
        <v>0</v>
      </c>
    </row>
    <row r="13" spans="1:6" x14ac:dyDescent="0.25">
      <c r="A13" s="186" t="s">
        <v>579</v>
      </c>
      <c r="B13" s="186" t="s">
        <v>580</v>
      </c>
      <c r="C13" s="188">
        <v>1900000</v>
      </c>
      <c r="D13" s="188">
        <v>1807200</v>
      </c>
      <c r="E13" s="188">
        <v>92800</v>
      </c>
      <c r="F13" s="188">
        <v>0</v>
      </c>
    </row>
    <row r="14" spans="1:6" x14ac:dyDescent="0.25">
      <c r="A14" s="186" t="s">
        <v>581</v>
      </c>
      <c r="B14" s="186" t="s">
        <v>582</v>
      </c>
      <c r="C14" s="188">
        <v>1750000</v>
      </c>
      <c r="D14" s="188">
        <v>1750000</v>
      </c>
      <c r="E14" s="188">
        <v>0</v>
      </c>
      <c r="F14" s="188">
        <v>0</v>
      </c>
    </row>
    <row r="15" spans="1:6" x14ac:dyDescent="0.25">
      <c r="A15" s="186" t="s">
        <v>583</v>
      </c>
      <c r="B15" s="186" t="s">
        <v>584</v>
      </c>
      <c r="C15" s="188">
        <v>1200000</v>
      </c>
      <c r="D15" s="188">
        <v>0</v>
      </c>
      <c r="E15" s="188">
        <v>1200000</v>
      </c>
      <c r="F15" s="188">
        <v>0</v>
      </c>
    </row>
    <row r="16" spans="1:6" x14ac:dyDescent="0.25">
      <c r="A16" s="186" t="s">
        <v>585</v>
      </c>
      <c r="B16" s="186" t="s">
        <v>586</v>
      </c>
      <c r="C16" s="188">
        <v>4931</v>
      </c>
      <c r="D16" s="188">
        <v>0</v>
      </c>
      <c r="E16" s="188">
        <v>4931</v>
      </c>
      <c r="F16" s="188">
        <v>0</v>
      </c>
    </row>
    <row r="17" spans="1:6" x14ac:dyDescent="0.25">
      <c r="A17" s="186" t="s">
        <v>587</v>
      </c>
      <c r="B17" s="186" t="s">
        <v>588</v>
      </c>
      <c r="C17" s="188">
        <v>244712</v>
      </c>
      <c r="D17" s="188">
        <v>0</v>
      </c>
      <c r="E17" s="188">
        <v>244712</v>
      </c>
      <c r="F17" s="188">
        <v>0</v>
      </c>
    </row>
    <row r="18" spans="1:6" x14ac:dyDescent="0.25">
      <c r="A18" s="187" t="s">
        <v>589</v>
      </c>
      <c r="B18" s="187" t="s">
        <v>590</v>
      </c>
      <c r="C18" s="189">
        <v>11513425</v>
      </c>
      <c r="D18" s="189">
        <v>5354087</v>
      </c>
      <c r="E18" s="189">
        <v>6159338</v>
      </c>
      <c r="F18" s="189">
        <v>0</v>
      </c>
    </row>
    <row r="19" spans="1:6" x14ac:dyDescent="0.25">
      <c r="A19" s="186" t="s">
        <v>591</v>
      </c>
      <c r="B19" s="186" t="s">
        <v>592</v>
      </c>
      <c r="C19" s="188">
        <v>0</v>
      </c>
      <c r="D19" s="188">
        <v>3200000</v>
      </c>
      <c r="E19" s="188">
        <v>0</v>
      </c>
      <c r="F19" s="188">
        <v>3200000</v>
      </c>
    </row>
    <row r="20" spans="1:6" x14ac:dyDescent="0.25">
      <c r="A20" s="186" t="s">
        <v>593</v>
      </c>
      <c r="B20" s="186" t="s">
        <v>594</v>
      </c>
      <c r="C20" s="188">
        <v>3200000</v>
      </c>
      <c r="D20" s="188">
        <v>1600000</v>
      </c>
      <c r="E20" s="188">
        <v>1600000</v>
      </c>
      <c r="F20" s="188">
        <v>0</v>
      </c>
    </row>
    <row r="21" spans="1:6" x14ac:dyDescent="0.25">
      <c r="A21" s="186" t="s">
        <v>595</v>
      </c>
      <c r="B21" s="186" t="s">
        <v>596</v>
      </c>
      <c r="C21" s="188">
        <v>457200</v>
      </c>
      <c r="D21" s="188">
        <v>643540</v>
      </c>
      <c r="E21" s="188">
        <v>0</v>
      </c>
      <c r="F21" s="188">
        <v>186340</v>
      </c>
    </row>
    <row r="22" spans="1:6" x14ac:dyDescent="0.25">
      <c r="A22" s="186" t="s">
        <v>597</v>
      </c>
      <c r="B22" s="186" t="s">
        <v>598</v>
      </c>
      <c r="C22" s="188">
        <v>0</v>
      </c>
      <c r="D22" s="188">
        <v>391777</v>
      </c>
      <c r="E22" s="188">
        <v>0</v>
      </c>
      <c r="F22" s="188">
        <v>391777</v>
      </c>
    </row>
    <row r="23" spans="1:6" x14ac:dyDescent="0.25">
      <c r="A23" s="186" t="s">
        <v>779</v>
      </c>
      <c r="B23" s="186" t="s">
        <v>780</v>
      </c>
      <c r="C23" s="188">
        <v>0</v>
      </c>
      <c r="D23" s="188">
        <v>71891</v>
      </c>
      <c r="E23" s="188">
        <v>0</v>
      </c>
      <c r="F23" s="188">
        <v>71891</v>
      </c>
    </row>
    <row r="24" spans="1:6" x14ac:dyDescent="0.25">
      <c r="A24" s="186" t="s">
        <v>599</v>
      </c>
      <c r="B24" s="186" t="s">
        <v>600</v>
      </c>
      <c r="C24" s="188">
        <v>177397</v>
      </c>
      <c r="D24" s="188">
        <v>177397</v>
      </c>
      <c r="E24" s="188">
        <v>0</v>
      </c>
      <c r="F24" s="188">
        <v>0</v>
      </c>
    </row>
    <row r="25" spans="1:6" x14ac:dyDescent="0.25">
      <c r="A25" s="186" t="s">
        <v>601</v>
      </c>
      <c r="B25" s="186" t="s">
        <v>602</v>
      </c>
      <c r="C25" s="188">
        <v>972000</v>
      </c>
      <c r="D25" s="188">
        <v>972000</v>
      </c>
      <c r="E25" s="188">
        <v>0</v>
      </c>
      <c r="F25" s="188">
        <v>0</v>
      </c>
    </row>
    <row r="26" spans="1:6" x14ac:dyDescent="0.25">
      <c r="A26" s="186" t="s">
        <v>603</v>
      </c>
      <c r="B26" s="186" t="s">
        <v>604</v>
      </c>
      <c r="C26" s="188">
        <v>177397</v>
      </c>
      <c r="D26" s="188">
        <v>972397</v>
      </c>
      <c r="E26" s="188">
        <v>0</v>
      </c>
      <c r="F26" s="188">
        <v>795000</v>
      </c>
    </row>
    <row r="27" spans="1:6" x14ac:dyDescent="0.25">
      <c r="A27" s="186" t="s">
        <v>605</v>
      </c>
      <c r="B27" s="186" t="s">
        <v>606</v>
      </c>
      <c r="C27" s="188">
        <v>0</v>
      </c>
      <c r="D27" s="188">
        <v>6699</v>
      </c>
      <c r="E27" s="188">
        <v>0</v>
      </c>
      <c r="F27" s="188">
        <v>6699</v>
      </c>
    </row>
    <row r="28" spans="1:6" x14ac:dyDescent="0.25">
      <c r="A28" s="187" t="s">
        <v>607</v>
      </c>
      <c r="B28" s="187" t="s">
        <v>608</v>
      </c>
      <c r="C28" s="189">
        <v>4983994</v>
      </c>
      <c r="D28" s="189">
        <v>8035701</v>
      </c>
      <c r="E28" s="189">
        <v>1600000</v>
      </c>
      <c r="F28" s="189">
        <v>4651707</v>
      </c>
    </row>
    <row r="29" spans="1:6" x14ac:dyDescent="0.25">
      <c r="A29" s="186" t="s">
        <v>609</v>
      </c>
      <c r="B29" s="186" t="s">
        <v>610</v>
      </c>
      <c r="C29" s="188">
        <v>5468</v>
      </c>
      <c r="D29" s="188">
        <v>0</v>
      </c>
      <c r="E29" s="188">
        <v>5468</v>
      </c>
      <c r="F29" s="188">
        <v>0</v>
      </c>
    </row>
    <row r="30" spans="1:6" x14ac:dyDescent="0.25">
      <c r="A30" s="186" t="s">
        <v>611</v>
      </c>
      <c r="B30" s="186" t="s">
        <v>612</v>
      </c>
      <c r="C30" s="188">
        <v>574800</v>
      </c>
      <c r="D30" s="188">
        <v>244712</v>
      </c>
      <c r="E30" s="188">
        <v>330088</v>
      </c>
      <c r="F30" s="188">
        <v>0</v>
      </c>
    </row>
    <row r="31" spans="1:6" x14ac:dyDescent="0.25">
      <c r="A31" s="186" t="s">
        <v>613</v>
      </c>
      <c r="B31" s="186" t="s">
        <v>614</v>
      </c>
      <c r="C31" s="188">
        <v>5855</v>
      </c>
      <c r="D31" s="188">
        <v>0</v>
      </c>
      <c r="E31" s="188">
        <v>5855</v>
      </c>
      <c r="F31" s="188">
        <v>0</v>
      </c>
    </row>
    <row r="32" spans="1:6" x14ac:dyDescent="0.25">
      <c r="A32" s="186" t="s">
        <v>615</v>
      </c>
      <c r="B32" s="186" t="s">
        <v>616</v>
      </c>
      <c r="C32" s="188">
        <v>82760</v>
      </c>
      <c r="D32" s="188">
        <v>0</v>
      </c>
      <c r="E32" s="188">
        <v>82760</v>
      </c>
      <c r="F32" s="188">
        <v>0</v>
      </c>
    </row>
    <row r="33" spans="1:6" x14ac:dyDescent="0.25">
      <c r="A33" s="187" t="s">
        <v>617</v>
      </c>
      <c r="B33" s="187" t="s">
        <v>618</v>
      </c>
      <c r="C33" s="189">
        <v>668883</v>
      </c>
      <c r="D33" s="189">
        <v>244712</v>
      </c>
      <c r="E33" s="189">
        <v>424171</v>
      </c>
      <c r="F33" s="189">
        <v>0</v>
      </c>
    </row>
    <row r="34" spans="1:6" x14ac:dyDescent="0.25">
      <c r="A34" s="186" t="s">
        <v>781</v>
      </c>
      <c r="B34" s="186" t="s">
        <v>782</v>
      </c>
      <c r="C34" s="188">
        <v>71891</v>
      </c>
      <c r="D34" s="188">
        <v>0</v>
      </c>
      <c r="E34" s="188">
        <v>71891</v>
      </c>
      <c r="F34" s="188">
        <v>0</v>
      </c>
    </row>
    <row r="35" spans="1:6" x14ac:dyDescent="0.25">
      <c r="A35" s="186" t="s">
        <v>619</v>
      </c>
      <c r="B35" s="186" t="s">
        <v>620</v>
      </c>
      <c r="C35" s="188">
        <v>399</v>
      </c>
      <c r="D35" s="188">
        <v>0</v>
      </c>
      <c r="E35" s="188">
        <v>399</v>
      </c>
      <c r="F35" s="188">
        <v>0</v>
      </c>
    </row>
    <row r="36" spans="1:6" x14ac:dyDescent="0.25">
      <c r="A36" s="186" t="s">
        <v>621</v>
      </c>
      <c r="B36" s="186" t="s">
        <v>622</v>
      </c>
      <c r="C36" s="188">
        <v>844</v>
      </c>
      <c r="D36" s="188">
        <v>0</v>
      </c>
      <c r="E36" s="188">
        <v>844</v>
      </c>
      <c r="F36" s="188">
        <v>0</v>
      </c>
    </row>
    <row r="37" spans="1:6" x14ac:dyDescent="0.25">
      <c r="A37" s="187" t="s">
        <v>623</v>
      </c>
      <c r="B37" s="187" t="s">
        <v>624</v>
      </c>
      <c r="C37" s="189">
        <v>73134</v>
      </c>
      <c r="D37" s="189">
        <v>0</v>
      </c>
      <c r="E37" s="189">
        <v>73134</v>
      </c>
      <c r="F37" s="189">
        <v>0</v>
      </c>
    </row>
    <row r="38" spans="1:6" x14ac:dyDescent="0.25">
      <c r="A38" s="186" t="s">
        <v>625</v>
      </c>
      <c r="B38" s="186" t="s">
        <v>626</v>
      </c>
      <c r="C38" s="188">
        <v>0</v>
      </c>
      <c r="D38" s="188">
        <v>3600000</v>
      </c>
      <c r="E38" s="188">
        <v>0</v>
      </c>
      <c r="F38" s="188">
        <v>3600000</v>
      </c>
    </row>
    <row r="39" spans="1:6" x14ac:dyDescent="0.25">
      <c r="A39" s="186" t="s">
        <v>627</v>
      </c>
      <c r="B39" s="186" t="s">
        <v>628</v>
      </c>
      <c r="C39" s="188">
        <v>0</v>
      </c>
      <c r="D39" s="188">
        <v>5</v>
      </c>
      <c r="E39" s="188">
        <v>0</v>
      </c>
      <c r="F39" s="188">
        <v>5</v>
      </c>
    </row>
    <row r="40" spans="1:6" x14ac:dyDescent="0.25">
      <c r="A40" s="186" t="s">
        <v>629</v>
      </c>
      <c r="B40" s="186" t="s">
        <v>630</v>
      </c>
      <c r="C40" s="188">
        <v>0</v>
      </c>
      <c r="D40" s="188">
        <v>4931</v>
      </c>
      <c r="E40" s="188">
        <v>0</v>
      </c>
      <c r="F40" s="188">
        <v>4931</v>
      </c>
    </row>
    <row r="41" spans="1:6" x14ac:dyDescent="0.25">
      <c r="A41" s="187" t="s">
        <v>631</v>
      </c>
      <c r="B41" s="187" t="s">
        <v>632</v>
      </c>
      <c r="C41" s="189">
        <v>0</v>
      </c>
      <c r="D41" s="189">
        <v>3604936</v>
      </c>
      <c r="E41" s="189">
        <v>0</v>
      </c>
      <c r="F41" s="189">
        <v>3604936</v>
      </c>
    </row>
    <row r="42" spans="1:6" x14ac:dyDescent="0.25">
      <c r="A42" s="187" t="s">
        <v>633</v>
      </c>
      <c r="B42" s="187" t="s">
        <v>634</v>
      </c>
      <c r="C42" s="189">
        <v>17404956</v>
      </c>
      <c r="D42" s="189">
        <v>17404956</v>
      </c>
      <c r="E42" s="189">
        <v>8339403</v>
      </c>
      <c r="F42" s="189">
        <v>8339403</v>
      </c>
    </row>
  </sheetData>
  <sheetProtection formatCells="0" formatColumns="0" formatRows="0" insertColumns="0" insertRows="0" insertHyperlinks="0" deleteColumns="0" deleteRows="0" sort="0" autoFilter="0" pivotTables="0"/>
  <mergeCells count="5">
    <mergeCell ref="A1:F1"/>
    <mergeCell ref="A2:F2"/>
    <mergeCell ref="A3:F3"/>
    <mergeCell ref="C5:D5"/>
    <mergeCell ref="E5:F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7F50E-ACC8-40FD-A254-8EA29B0E11FA}">
  <dimension ref="A1:K2"/>
  <sheetViews>
    <sheetView zoomScale="70" zoomScaleNormal="70" workbookViewId="0">
      <selection sqref="A1:I2"/>
    </sheetView>
  </sheetViews>
  <sheetFormatPr defaultRowHeight="15" x14ac:dyDescent="0.25"/>
  <cols>
    <col min="1" max="11" width="17.85546875" customWidth="1"/>
  </cols>
  <sheetData>
    <row r="1" spans="1:11" ht="18.75" x14ac:dyDescent="0.3">
      <c r="A1" s="309" t="s">
        <v>242</v>
      </c>
      <c r="B1" s="309"/>
      <c r="C1" s="309"/>
      <c r="D1" s="309"/>
      <c r="E1" s="309"/>
      <c r="F1" s="309"/>
      <c r="G1" s="309"/>
      <c r="H1" s="309"/>
      <c r="I1" s="309"/>
      <c r="J1" s="103"/>
      <c r="K1" s="103"/>
    </row>
    <row r="2" spans="1:11" x14ac:dyDescent="0.25">
      <c r="A2" s="102" t="s">
        <v>102</v>
      </c>
      <c r="B2" s="102" t="s">
        <v>243</v>
      </c>
      <c r="C2" s="102" t="s">
        <v>230</v>
      </c>
      <c r="D2" s="102" t="s">
        <v>231</v>
      </c>
      <c r="E2" s="102" t="s">
        <v>232</v>
      </c>
      <c r="F2" s="102" t="s">
        <v>245</v>
      </c>
      <c r="G2" s="102" t="s">
        <v>246</v>
      </c>
      <c r="H2" s="102" t="s">
        <v>244</v>
      </c>
      <c r="I2" s="102" t="s">
        <v>247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3</vt:i4>
      </vt:variant>
    </vt:vector>
  </HeadingPairs>
  <TitlesOfParts>
    <vt:vector size="29" baseType="lpstr">
      <vt:lpstr>PT_BE</vt:lpstr>
      <vt:lpstr>PT_KI</vt:lpstr>
      <vt:lpstr>Jelentés_Előtársaság</vt:lpstr>
      <vt:lpstr>Jelentés_1</vt:lpstr>
      <vt:lpstr>Szigszam</vt:lpstr>
      <vt:lpstr>Utalas</vt:lpstr>
      <vt:lpstr>Utalas (2)</vt:lpstr>
      <vt:lpstr>Utalas (3)</vt:lpstr>
      <vt:lpstr>Kimenő számla</vt:lpstr>
      <vt:lpstr>Kimenő számla (2)</vt:lpstr>
      <vt:lpstr>Kimenő számla (3)</vt:lpstr>
      <vt:lpstr>Folyószámla analitika</vt:lpstr>
      <vt:lpstr>ÁFA  analitika</vt:lpstr>
      <vt:lpstr>Főkönyvi bizonylatok</vt:lpstr>
      <vt:lpstr>Tagi kölcsön analitika</vt:lpstr>
      <vt:lpstr>Időbeli elhatárolás analitika</vt:lpstr>
      <vt:lpstr>Tárgyi eszköz analitika</vt:lpstr>
      <vt:lpstr>Béranalitika</vt:lpstr>
      <vt:lpstr>AFA_Előtársaság </vt:lpstr>
      <vt:lpstr>Áfa_10 </vt:lpstr>
      <vt:lpstr>BÉR_11</vt:lpstr>
      <vt:lpstr>HIPA_Előtársaság</vt:lpstr>
      <vt:lpstr>Főkönyvi kivonat_HIPA előtt</vt:lpstr>
      <vt:lpstr>TAO_Előtársaság</vt:lpstr>
      <vt:lpstr>Főkönyvi kivonat_TAO előtt</vt:lpstr>
      <vt:lpstr>Áfa analitika</vt:lpstr>
      <vt:lpstr>Utalas!Print_Area</vt:lpstr>
      <vt:lpstr>'Utalas (2)'!Print_Area</vt:lpstr>
      <vt:lpstr>'Utalas (3)'!Print_Area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Polyák Imre</dc:creator>
  <cp:lastModifiedBy>Molnár Marcell</cp:lastModifiedBy>
  <cp:lastPrinted>2017-09-12T22:42:35Z</cp:lastPrinted>
  <dcterms:created xsi:type="dcterms:W3CDTF">2017-09-12T21:47:00Z</dcterms:created>
  <dcterms:modified xsi:type="dcterms:W3CDTF">2026-04-25T08:03:01Z</dcterms:modified>
</cp:coreProperties>
</file>